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011bf27af0d6c1/Desktop/"/>
    </mc:Choice>
  </mc:AlternateContent>
  <xr:revisionPtr revIDLastSave="1718" documentId="8_{DC8B0C34-717D-4900-BA01-131C3154077D}" xr6:coauthVersionLast="47" xr6:coauthVersionMax="47" xr10:uidLastSave="{0C740C57-F12C-4C5D-B438-AA7E0935BBA6}"/>
  <bookViews>
    <workbookView minimized="1" xWindow="5175" yWindow="3038" windowWidth="16200" windowHeight="9307" xr2:uid="{CC7B6C74-8E38-42A3-9245-88F256902BC2}"/>
  </bookViews>
  <sheets>
    <sheet name="Operating Budgets" sheetId="1" r:id="rId1"/>
    <sheet name="Cash Budget" sheetId="4" r:id="rId2"/>
    <sheet name="Balance 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4" l="1"/>
  <c r="C5" i="4"/>
  <c r="C4" i="4"/>
  <c r="B4" i="4"/>
  <c r="E7" i="4"/>
  <c r="E6" i="4"/>
  <c r="E5" i="4"/>
  <c r="F87" i="1"/>
  <c r="D23" i="1"/>
  <c r="D22" i="1"/>
  <c r="C21" i="1"/>
  <c r="C19" i="1"/>
  <c r="C20" i="1"/>
  <c r="D11" i="1"/>
  <c r="D10" i="1"/>
  <c r="D12" i="1"/>
  <c r="C10" i="1"/>
  <c r="D51" i="4"/>
  <c r="D46" i="4"/>
  <c r="G124" i="1"/>
  <c r="G122" i="1"/>
  <c r="C99" i="1"/>
  <c r="C98" i="1"/>
  <c r="C91" i="1"/>
  <c r="C81" i="1"/>
  <c r="C75" i="1"/>
  <c r="H33" i="3"/>
  <c r="M43" i="4"/>
  <c r="F37" i="1"/>
  <c r="I12" i="3"/>
  <c r="S78" i="1"/>
  <c r="S93" i="1"/>
  <c r="E12" i="3"/>
  <c r="E6" i="3"/>
  <c r="P18" i="4"/>
  <c r="Q18" i="4"/>
  <c r="O18" i="4"/>
  <c r="I29" i="3"/>
  <c r="I28" i="3"/>
  <c r="G126" i="1"/>
  <c r="G125" i="1"/>
  <c r="I24" i="3"/>
  <c r="I22" i="3"/>
  <c r="L14" i="3"/>
  <c r="L13" i="3"/>
  <c r="L12" i="3"/>
  <c r="I21" i="3"/>
  <c r="E17" i="3"/>
  <c r="E16" i="3"/>
  <c r="E10" i="3"/>
  <c r="S96" i="1"/>
  <c r="E11" i="3"/>
  <c r="D10" i="3"/>
  <c r="D9" i="3"/>
  <c r="D8" i="3"/>
  <c r="S91" i="1"/>
  <c r="S89" i="1"/>
  <c r="S90" i="1"/>
  <c r="S94" i="1"/>
  <c r="S95" i="1"/>
  <c r="S97" i="1"/>
  <c r="S98" i="1"/>
  <c r="S99" i="1"/>
  <c r="S72" i="1"/>
  <c r="S73" i="1"/>
  <c r="S74" i="1"/>
  <c r="S75" i="1"/>
  <c r="S77" i="1"/>
  <c r="S79" i="1"/>
  <c r="S80" i="1"/>
  <c r="S81" i="1"/>
  <c r="S82" i="1"/>
  <c r="S71" i="1"/>
  <c r="S65" i="1"/>
  <c r="S63" i="1"/>
  <c r="S61" i="1"/>
  <c r="S57" i="1"/>
  <c r="S55" i="1"/>
  <c r="S53" i="1"/>
  <c r="S49" i="1"/>
  <c r="S47" i="1"/>
  <c r="S46" i="1"/>
  <c r="S45" i="1"/>
  <c r="S44" i="1"/>
  <c r="S43" i="1"/>
  <c r="S41" i="1"/>
  <c r="S37" i="1"/>
  <c r="S35" i="1"/>
  <c r="S34" i="1"/>
  <c r="S33" i="1"/>
  <c r="S32" i="1"/>
  <c r="S31" i="1"/>
  <c r="S29" i="1"/>
  <c r="S25" i="1"/>
  <c r="S23" i="1"/>
  <c r="S22" i="1"/>
  <c r="S21" i="1"/>
  <c r="S20" i="1"/>
  <c r="S17" i="1"/>
  <c r="S19" i="1"/>
  <c r="S12" i="1"/>
  <c r="S11" i="1"/>
  <c r="S13" i="1" s="1"/>
  <c r="S10" i="1"/>
  <c r="S9" i="1"/>
  <c r="S5" i="1"/>
  <c r="S4" i="1"/>
  <c r="S3" i="1"/>
  <c r="Q17" i="4"/>
  <c r="O17" i="4"/>
  <c r="P17" i="4"/>
  <c r="P55" i="4"/>
  <c r="O55" i="4"/>
  <c r="P56" i="4"/>
  <c r="P51" i="4"/>
  <c r="P47" i="4"/>
  <c r="P48" i="4"/>
  <c r="P49" i="4"/>
  <c r="P50" i="4"/>
  <c r="P46" i="4"/>
  <c r="P41" i="4"/>
  <c r="E56" i="4"/>
  <c r="F56" i="4"/>
  <c r="G56" i="4"/>
  <c r="H56" i="4"/>
  <c r="I56" i="4"/>
  <c r="J56" i="4"/>
  <c r="K56" i="4"/>
  <c r="L56" i="4"/>
  <c r="M56" i="4"/>
  <c r="N56" i="4"/>
  <c r="O56" i="4"/>
  <c r="E51" i="4"/>
  <c r="F51" i="4"/>
  <c r="G51" i="4"/>
  <c r="H51" i="4"/>
  <c r="I51" i="4"/>
  <c r="J51" i="4"/>
  <c r="K51" i="4"/>
  <c r="L51" i="4"/>
  <c r="M51" i="4"/>
  <c r="N51" i="4"/>
  <c r="O51" i="4"/>
  <c r="D56" i="4"/>
  <c r="E49" i="4"/>
  <c r="F49" i="4"/>
  <c r="G49" i="4"/>
  <c r="H49" i="4"/>
  <c r="I49" i="4"/>
  <c r="J49" i="4"/>
  <c r="K49" i="4"/>
  <c r="L49" i="4"/>
  <c r="M49" i="4"/>
  <c r="N49" i="4"/>
  <c r="O49" i="4"/>
  <c r="D49" i="4"/>
  <c r="E48" i="4"/>
  <c r="F48" i="4"/>
  <c r="G48" i="4"/>
  <c r="H48" i="4"/>
  <c r="I48" i="4"/>
  <c r="J48" i="4"/>
  <c r="K48" i="4"/>
  <c r="L48" i="4"/>
  <c r="M48" i="4"/>
  <c r="N48" i="4"/>
  <c r="O48" i="4"/>
  <c r="D48" i="4"/>
  <c r="E47" i="4"/>
  <c r="F47" i="4"/>
  <c r="G47" i="4"/>
  <c r="H47" i="4"/>
  <c r="I47" i="4"/>
  <c r="J47" i="4"/>
  <c r="K47" i="4"/>
  <c r="L47" i="4"/>
  <c r="M47" i="4"/>
  <c r="N47" i="4"/>
  <c r="O47" i="4"/>
  <c r="D47" i="4"/>
  <c r="E46" i="4"/>
  <c r="F46" i="4"/>
  <c r="G46" i="4"/>
  <c r="H46" i="4"/>
  <c r="I46" i="4"/>
  <c r="J46" i="4"/>
  <c r="K46" i="4"/>
  <c r="L46" i="4"/>
  <c r="M46" i="4"/>
  <c r="N46" i="4"/>
  <c r="O46" i="4"/>
  <c r="G123" i="1"/>
  <c r="G121" i="1"/>
  <c r="G120" i="1"/>
  <c r="G111" i="1"/>
  <c r="G109" i="1"/>
  <c r="D113" i="1"/>
  <c r="D112" i="1"/>
  <c r="D111" i="1"/>
  <c r="D109" i="1"/>
  <c r="G106" i="1"/>
  <c r="E106" i="1"/>
  <c r="D106" i="1"/>
  <c r="G103" i="1"/>
  <c r="E103" i="1"/>
  <c r="D103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D81" i="1"/>
  <c r="K61" i="1"/>
  <c r="K63" i="1" s="1"/>
  <c r="K65" i="1" s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R43" i="1" s="1"/>
  <c r="D29" i="1"/>
  <c r="D31" i="1" s="1"/>
  <c r="C32" i="1" s="1"/>
  <c r="E29" i="1"/>
  <c r="E31" i="1" s="1"/>
  <c r="F29" i="1"/>
  <c r="F31" i="1" s="1"/>
  <c r="G29" i="1"/>
  <c r="G31" i="1" s="1"/>
  <c r="H29" i="1"/>
  <c r="H31" i="1" s="1"/>
  <c r="G32" i="1" s="1"/>
  <c r="H34" i="1" s="1"/>
  <c r="I29" i="1"/>
  <c r="I31" i="1" s="1"/>
  <c r="J29" i="1"/>
  <c r="J31" i="1" s="1"/>
  <c r="K29" i="1"/>
  <c r="K31" i="1" s="1"/>
  <c r="L29" i="1"/>
  <c r="L31" i="1" s="1"/>
  <c r="M29" i="1"/>
  <c r="M31" i="1" s="1"/>
  <c r="N29" i="1"/>
  <c r="O29" i="1"/>
  <c r="P29" i="1"/>
  <c r="P31" i="1" s="1"/>
  <c r="Q29" i="1"/>
  <c r="Q31" i="1" s="1"/>
  <c r="R29" i="1"/>
  <c r="R31" i="1" s="1"/>
  <c r="C41" i="1"/>
  <c r="C29" i="1"/>
  <c r="C31" i="1" s="1"/>
  <c r="C17" i="1"/>
  <c r="C43" i="1"/>
  <c r="O31" i="1"/>
  <c r="N31" i="1"/>
  <c r="Q17" i="1"/>
  <c r="Q53" i="1" s="1"/>
  <c r="Q55" i="1" s="1"/>
  <c r="R17" i="1"/>
  <c r="R61" i="1" s="1"/>
  <c r="R63" i="1" s="1"/>
  <c r="R65" i="1" s="1"/>
  <c r="P17" i="1"/>
  <c r="P53" i="1" s="1"/>
  <c r="P55" i="1" s="1"/>
  <c r="P19" i="1"/>
  <c r="O20" i="1" s="1"/>
  <c r="P22" i="1" s="1"/>
  <c r="D17" i="1"/>
  <c r="D19" i="1" s="1"/>
  <c r="E17" i="1"/>
  <c r="E19" i="1" s="1"/>
  <c r="D20" i="1" s="1"/>
  <c r="E22" i="1" s="1"/>
  <c r="F17" i="1"/>
  <c r="F61" i="1" s="1"/>
  <c r="F63" i="1" s="1"/>
  <c r="F65" i="1" s="1"/>
  <c r="G17" i="1"/>
  <c r="H17" i="1"/>
  <c r="H61" i="1" s="1"/>
  <c r="H63" i="1" s="1"/>
  <c r="H65" i="1" s="1"/>
  <c r="I17" i="1"/>
  <c r="I61" i="1" s="1"/>
  <c r="I63" i="1" s="1"/>
  <c r="I65" i="1" s="1"/>
  <c r="J17" i="1"/>
  <c r="J61" i="1" s="1"/>
  <c r="J63" i="1" s="1"/>
  <c r="J65" i="1" s="1"/>
  <c r="K17" i="1"/>
  <c r="L17" i="1"/>
  <c r="M17" i="1"/>
  <c r="M19" i="1" s="1"/>
  <c r="L20" i="1" s="1"/>
  <c r="M22" i="1" s="1"/>
  <c r="N17" i="1"/>
  <c r="N19" i="1" s="1"/>
  <c r="M20" i="1" s="1"/>
  <c r="N22" i="1" s="1"/>
  <c r="O17" i="1"/>
  <c r="O19" i="1" s="1"/>
  <c r="N20" i="1" s="1"/>
  <c r="O22" i="1" s="1"/>
  <c r="C12" i="1"/>
  <c r="C11" i="1" s="1"/>
  <c r="E12" i="1"/>
  <c r="E11" i="1" s="1"/>
  <c r="E9" i="1" s="1"/>
  <c r="E3" i="1" s="1"/>
  <c r="Q10" i="1"/>
  <c r="R12" i="1" s="1"/>
  <c r="R11" i="1" s="1"/>
  <c r="P10" i="1"/>
  <c r="Q12" i="1" s="1"/>
  <c r="Q11" i="1" s="1"/>
  <c r="O10" i="1"/>
  <c r="N10" i="1"/>
  <c r="M10" i="1"/>
  <c r="N12" i="1" s="1"/>
  <c r="N11" i="1" s="1"/>
  <c r="N9" i="1" s="1"/>
  <c r="N3" i="1" s="1"/>
  <c r="L10" i="1"/>
  <c r="M12" i="1" s="1"/>
  <c r="M11" i="1" s="1"/>
  <c r="K10" i="1"/>
  <c r="L12" i="1" s="1"/>
  <c r="L11" i="1" s="1"/>
  <c r="J10" i="1"/>
  <c r="K12" i="1" s="1"/>
  <c r="K11" i="1" s="1"/>
  <c r="I10" i="1"/>
  <c r="J12" i="1" s="1"/>
  <c r="J11" i="1" s="1"/>
  <c r="H10" i="1"/>
  <c r="I12" i="1" s="1"/>
  <c r="I11" i="1" s="1"/>
  <c r="I9" i="1" s="1"/>
  <c r="I3" i="1" s="1"/>
  <c r="I86" i="1" s="1"/>
  <c r="I90" i="1" s="1"/>
  <c r="G10" i="1"/>
  <c r="H12" i="1" s="1"/>
  <c r="H11" i="1" s="1"/>
  <c r="H9" i="1" s="1"/>
  <c r="H3" i="1" s="1"/>
  <c r="F10" i="1"/>
  <c r="G12" i="1" s="1"/>
  <c r="G11" i="1" s="1"/>
  <c r="G9" i="1" s="1"/>
  <c r="G3" i="1" s="1"/>
  <c r="E10" i="1"/>
  <c r="F12" i="1" s="1"/>
  <c r="F11" i="1" s="1"/>
  <c r="F9" i="1" s="1"/>
  <c r="F3" i="1" s="1"/>
  <c r="P61" i="1" l="1"/>
  <c r="P63" i="1" s="1"/>
  <c r="P65" i="1" s="1"/>
  <c r="O61" i="1"/>
  <c r="O63" i="1" s="1"/>
  <c r="O65" i="1" s="1"/>
  <c r="N53" i="1"/>
  <c r="N55" i="1" s="1"/>
  <c r="O21" i="1"/>
  <c r="O23" i="1" s="1"/>
  <c r="O25" i="1" s="1"/>
  <c r="N21" i="1"/>
  <c r="N23" i="1" s="1"/>
  <c r="N25" i="1" s="1"/>
  <c r="O53" i="1"/>
  <c r="O55" i="1" s="1"/>
  <c r="O57" i="1" s="1"/>
  <c r="M21" i="1"/>
  <c r="M23" i="1" s="1"/>
  <c r="M25" i="1" s="1"/>
  <c r="M53" i="1"/>
  <c r="M55" i="1" s="1"/>
  <c r="M69" i="1" s="1"/>
  <c r="G19" i="1"/>
  <c r="G53" i="1"/>
  <c r="G55" i="1" s="1"/>
  <c r="G61" i="1"/>
  <c r="G63" i="1" s="1"/>
  <c r="G65" i="1" s="1"/>
  <c r="Q57" i="1"/>
  <c r="Q69" i="1"/>
  <c r="C53" i="1"/>
  <c r="C55" i="1" s="1"/>
  <c r="C61" i="1"/>
  <c r="C63" i="1" s="1"/>
  <c r="C65" i="1" s="1"/>
  <c r="K19" i="1"/>
  <c r="K53" i="1"/>
  <c r="K55" i="1" s="1"/>
  <c r="N57" i="1"/>
  <c r="N69" i="1"/>
  <c r="J19" i="1"/>
  <c r="J53" i="1"/>
  <c r="J55" i="1" s="1"/>
  <c r="R19" i="1"/>
  <c r="I19" i="1"/>
  <c r="I53" i="1"/>
  <c r="I55" i="1" s="1"/>
  <c r="E53" i="1"/>
  <c r="E55" i="1" s="1"/>
  <c r="F53" i="1"/>
  <c r="F55" i="1" s="1"/>
  <c r="F19" i="1"/>
  <c r="D21" i="1"/>
  <c r="D25" i="1" s="1"/>
  <c r="D61" i="1"/>
  <c r="D63" i="1" s="1"/>
  <c r="D65" i="1" s="1"/>
  <c r="D53" i="1"/>
  <c r="D55" i="1" s="1"/>
  <c r="Q19" i="1"/>
  <c r="Q61" i="1"/>
  <c r="Q63" i="1" s="1"/>
  <c r="Q65" i="1" s="1"/>
  <c r="R53" i="1"/>
  <c r="R55" i="1" s="1"/>
  <c r="P57" i="1"/>
  <c r="P69" i="1"/>
  <c r="L19" i="1"/>
  <c r="L61" i="1"/>
  <c r="L63" i="1" s="1"/>
  <c r="L65" i="1" s="1"/>
  <c r="L53" i="1"/>
  <c r="L55" i="1" s="1"/>
  <c r="N86" i="1"/>
  <c r="N90" i="1" s="1"/>
  <c r="L9" i="1"/>
  <c r="L3" i="1" s="1"/>
  <c r="H19" i="1"/>
  <c r="H53" i="1"/>
  <c r="H55" i="1" s="1"/>
  <c r="E61" i="1"/>
  <c r="E63" i="1" s="1"/>
  <c r="E65" i="1" s="1"/>
  <c r="H86" i="1"/>
  <c r="H90" i="1" s="1"/>
  <c r="N61" i="1"/>
  <c r="N63" i="1" s="1"/>
  <c r="N65" i="1" s="1"/>
  <c r="G86" i="1"/>
  <c r="G90" i="1" s="1"/>
  <c r="J9" i="1"/>
  <c r="J3" i="1" s="1"/>
  <c r="M61" i="1"/>
  <c r="M63" i="1" s="1"/>
  <c r="M65" i="1" s="1"/>
  <c r="F86" i="1"/>
  <c r="F90" i="1" s="1"/>
  <c r="K9" i="1"/>
  <c r="K3" i="1" s="1"/>
  <c r="C33" i="1"/>
  <c r="R45" i="1"/>
  <c r="E32" i="1"/>
  <c r="F34" i="1" s="1"/>
  <c r="G33" i="1"/>
  <c r="F32" i="1"/>
  <c r="G34" i="1" s="1"/>
  <c r="H32" i="1"/>
  <c r="I32" i="1"/>
  <c r="J34" i="1" s="1"/>
  <c r="J32" i="1"/>
  <c r="K34" i="1" s="1"/>
  <c r="K32" i="1"/>
  <c r="L34" i="1" s="1"/>
  <c r="L32" i="1"/>
  <c r="M34" i="1" s="1"/>
  <c r="M32" i="1"/>
  <c r="N34" i="1" s="1"/>
  <c r="N32" i="1"/>
  <c r="O34" i="1" s="1"/>
  <c r="O32" i="1"/>
  <c r="P34" i="1" s="1"/>
  <c r="P32" i="1"/>
  <c r="Q34" i="1" s="1"/>
  <c r="R33" i="1"/>
  <c r="Q32" i="1"/>
  <c r="R34" i="1" s="1"/>
  <c r="D34" i="1"/>
  <c r="D32" i="1"/>
  <c r="E34" i="1" s="1"/>
  <c r="Q9" i="1"/>
  <c r="Q3" i="1" s="1"/>
  <c r="Q86" i="1" s="1"/>
  <c r="Q90" i="1" s="1"/>
  <c r="C9" i="1"/>
  <c r="C3" i="1" s="1"/>
  <c r="M9" i="1"/>
  <c r="M3" i="1" s="1"/>
  <c r="M4" i="1" s="1"/>
  <c r="L6" i="1" s="1"/>
  <c r="D9" i="1"/>
  <c r="O12" i="1"/>
  <c r="O11" i="1" s="1"/>
  <c r="O9" i="1" s="1"/>
  <c r="O3" i="1" s="1"/>
  <c r="P12" i="1"/>
  <c r="P11" i="1" s="1"/>
  <c r="P9" i="1" s="1"/>
  <c r="P3" i="1" s="1"/>
  <c r="O69" i="1" l="1"/>
  <c r="M57" i="1"/>
  <c r="P20" i="1"/>
  <c r="O72" i="1"/>
  <c r="O74" i="1"/>
  <c r="O73" i="1"/>
  <c r="O71" i="1"/>
  <c r="O75" i="1" s="1"/>
  <c r="O82" i="1" s="1"/>
  <c r="F69" i="1"/>
  <c r="F57" i="1"/>
  <c r="I57" i="1"/>
  <c r="I69" i="1"/>
  <c r="Q74" i="1"/>
  <c r="Q73" i="1"/>
  <c r="Q71" i="1"/>
  <c r="Q72" i="1"/>
  <c r="J86" i="1"/>
  <c r="J90" i="1" s="1"/>
  <c r="M86" i="1"/>
  <c r="M90" i="1" s="1"/>
  <c r="D57" i="1"/>
  <c r="D69" i="1"/>
  <c r="N74" i="1"/>
  <c r="N72" i="1"/>
  <c r="N71" i="1"/>
  <c r="N73" i="1"/>
  <c r="C5" i="1"/>
  <c r="C87" i="1" s="1"/>
  <c r="B3" i="4" s="1"/>
  <c r="C86" i="1"/>
  <c r="C90" i="1" s="1"/>
  <c r="G20" i="1"/>
  <c r="H22" i="1" s="1"/>
  <c r="H21" i="1"/>
  <c r="J20" i="1"/>
  <c r="K22" i="1" s="1"/>
  <c r="L57" i="1"/>
  <c r="L69" i="1"/>
  <c r="C57" i="1"/>
  <c r="C69" i="1"/>
  <c r="E57" i="1"/>
  <c r="E69" i="1"/>
  <c r="E86" i="1"/>
  <c r="E90" i="1" s="1"/>
  <c r="P73" i="1"/>
  <c r="P72" i="1"/>
  <c r="P74" i="1"/>
  <c r="P71" i="1"/>
  <c r="P75" i="1" s="1"/>
  <c r="P82" i="1" s="1"/>
  <c r="K86" i="1"/>
  <c r="K90" i="1" s="1"/>
  <c r="G57" i="1"/>
  <c r="G69" i="1"/>
  <c r="M74" i="1"/>
  <c r="M72" i="1"/>
  <c r="M71" i="1"/>
  <c r="M73" i="1"/>
  <c r="E33" i="1"/>
  <c r="E35" i="1" s="1"/>
  <c r="E37" i="1" s="1"/>
  <c r="E43" i="1" s="1"/>
  <c r="E46" i="1" s="1"/>
  <c r="H57" i="1"/>
  <c r="H69" i="1"/>
  <c r="L86" i="1"/>
  <c r="L90" i="1" s="1"/>
  <c r="H20" i="1"/>
  <c r="I22" i="1" s="1"/>
  <c r="R57" i="1"/>
  <c r="R69" i="1"/>
  <c r="F20" i="1"/>
  <c r="G22" i="1" s="1"/>
  <c r="I20" i="1"/>
  <c r="J22" i="1" s="1"/>
  <c r="K57" i="1"/>
  <c r="K69" i="1"/>
  <c r="E20" i="1"/>
  <c r="K20" i="1"/>
  <c r="L22" i="1" s="1"/>
  <c r="L21" i="1"/>
  <c r="L23" i="1" s="1"/>
  <c r="L25" i="1" s="1"/>
  <c r="Q20" i="1"/>
  <c r="R22" i="1" s="1"/>
  <c r="R21" i="1"/>
  <c r="P86" i="1"/>
  <c r="P90" i="1" s="1"/>
  <c r="O86" i="1"/>
  <c r="O90" i="1" s="1"/>
  <c r="J57" i="1"/>
  <c r="J69" i="1"/>
  <c r="N33" i="1"/>
  <c r="R46" i="1"/>
  <c r="N35" i="1"/>
  <c r="N37" i="1" s="1"/>
  <c r="N43" i="1" s="1"/>
  <c r="M33" i="1"/>
  <c r="M35" i="1" s="1"/>
  <c r="M37" i="1" s="1"/>
  <c r="M43" i="1" s="1"/>
  <c r="M46" i="1" s="1"/>
  <c r="L33" i="1"/>
  <c r="L35" i="1" s="1"/>
  <c r="L37" i="1" s="1"/>
  <c r="L43" i="1" s="1"/>
  <c r="L46" i="1" s="1"/>
  <c r="D33" i="1"/>
  <c r="D35" i="1" s="1"/>
  <c r="D37" i="1" s="1"/>
  <c r="D43" i="1" s="1"/>
  <c r="K33" i="1"/>
  <c r="K35" i="1" s="1"/>
  <c r="K37" i="1" s="1"/>
  <c r="K43" i="1" s="1"/>
  <c r="K46" i="1" s="1"/>
  <c r="J33" i="1"/>
  <c r="J35" i="1" s="1"/>
  <c r="J37" i="1" s="1"/>
  <c r="J43" i="1" s="1"/>
  <c r="J46" i="1" s="1"/>
  <c r="I34" i="1"/>
  <c r="H33" i="1"/>
  <c r="H35" i="1" s="1"/>
  <c r="H37" i="1" s="1"/>
  <c r="H43" i="1" s="1"/>
  <c r="H46" i="1" s="1"/>
  <c r="Q33" i="1"/>
  <c r="Q35" i="1" s="1"/>
  <c r="Q37" i="1" s="1"/>
  <c r="Q43" i="1" s="1"/>
  <c r="Q46" i="1" s="1"/>
  <c r="I33" i="1"/>
  <c r="P33" i="1"/>
  <c r="P35" i="1" s="1"/>
  <c r="P37" i="1" s="1"/>
  <c r="P43" i="1" s="1"/>
  <c r="G35" i="1"/>
  <c r="G37" i="1" s="1"/>
  <c r="G43" i="1" s="1"/>
  <c r="O33" i="1"/>
  <c r="O35" i="1" s="1"/>
  <c r="O37" i="1" s="1"/>
  <c r="O43" i="1" s="1"/>
  <c r="F33" i="1"/>
  <c r="F35" i="1" s="1"/>
  <c r="F43" i="1" s="1"/>
  <c r="F46" i="1" s="1"/>
  <c r="D3" i="1"/>
  <c r="D86" i="1" s="1"/>
  <c r="D90" i="1" s="1"/>
  <c r="Q5" i="1"/>
  <c r="Q87" i="1" s="1"/>
  <c r="P3" i="4" s="1"/>
  <c r="G21" i="1" l="1"/>
  <c r="G23" i="1" s="1"/>
  <c r="G25" i="1" s="1"/>
  <c r="K21" i="1"/>
  <c r="K23" i="1" s="1"/>
  <c r="K25" i="1" s="1"/>
  <c r="H23" i="1"/>
  <c r="H25" i="1" s="1"/>
  <c r="J21" i="1"/>
  <c r="J23" i="1" s="1"/>
  <c r="J25" i="1" s="1"/>
  <c r="Q75" i="1"/>
  <c r="Q82" i="1" s="1"/>
  <c r="D4" i="4"/>
  <c r="B18" i="4"/>
  <c r="I35" i="1"/>
  <c r="I37" i="1" s="1"/>
  <c r="I43" i="1" s="1"/>
  <c r="I46" i="1" s="1"/>
  <c r="Q89" i="1"/>
  <c r="Q91" i="1" s="1"/>
  <c r="Q99" i="1" s="1"/>
  <c r="C89" i="1"/>
  <c r="L73" i="1"/>
  <c r="L71" i="1"/>
  <c r="L72" i="1"/>
  <c r="L74" i="1"/>
  <c r="G71" i="1"/>
  <c r="G74" i="1"/>
  <c r="G72" i="1"/>
  <c r="G73" i="1"/>
  <c r="R74" i="1"/>
  <c r="R71" i="1"/>
  <c r="R72" i="1"/>
  <c r="R73" i="1"/>
  <c r="I21" i="1"/>
  <c r="I23" i="1" s="1"/>
  <c r="I25" i="1" s="1"/>
  <c r="N75" i="1"/>
  <c r="N82" i="1" s="1"/>
  <c r="H71" i="1"/>
  <c r="H73" i="1"/>
  <c r="H74" i="1"/>
  <c r="H72" i="1"/>
  <c r="F21" i="1"/>
  <c r="F22" i="1"/>
  <c r="E21" i="1"/>
  <c r="E23" i="1" s="1"/>
  <c r="E25" i="1" s="1"/>
  <c r="C73" i="1"/>
  <c r="C72" i="1"/>
  <c r="C71" i="1"/>
  <c r="C74" i="1"/>
  <c r="Q21" i="1"/>
  <c r="J72" i="1"/>
  <c r="J71" i="1"/>
  <c r="J74" i="1"/>
  <c r="J73" i="1"/>
  <c r="I72" i="1"/>
  <c r="I71" i="1"/>
  <c r="I74" i="1"/>
  <c r="I73" i="1"/>
  <c r="F74" i="1"/>
  <c r="F72" i="1"/>
  <c r="F73" i="1"/>
  <c r="F71" i="1"/>
  <c r="E74" i="1"/>
  <c r="E72" i="1"/>
  <c r="E73" i="1"/>
  <c r="E71" i="1"/>
  <c r="D74" i="1"/>
  <c r="D72" i="1"/>
  <c r="D71" i="1"/>
  <c r="D73" i="1"/>
  <c r="K73" i="1"/>
  <c r="K71" i="1"/>
  <c r="K72" i="1"/>
  <c r="K74" i="1"/>
  <c r="M75" i="1"/>
  <c r="M82" i="1" s="1"/>
  <c r="Q22" i="1"/>
  <c r="P21" i="1"/>
  <c r="P23" i="1" s="1"/>
  <c r="P25" i="1" s="1"/>
  <c r="H45" i="1"/>
  <c r="H47" i="1" s="1"/>
  <c r="H49" i="1" s="1"/>
  <c r="Q45" i="1"/>
  <c r="Q47" i="1" s="1"/>
  <c r="Q49" i="1" s="1"/>
  <c r="J45" i="1"/>
  <c r="J47" i="1" s="1"/>
  <c r="J49" i="1" s="1"/>
  <c r="I22" i="4" s="1"/>
  <c r="I30" i="4" s="1"/>
  <c r="J30" i="4" s="1"/>
  <c r="P45" i="1"/>
  <c r="P46" i="1"/>
  <c r="N46" i="1"/>
  <c r="O46" i="1"/>
  <c r="O45" i="1"/>
  <c r="O47" i="1" s="1"/>
  <c r="O49" i="1" s="1"/>
  <c r="N22" i="4" s="1"/>
  <c r="N35" i="4" s="1"/>
  <c r="O35" i="4" s="1"/>
  <c r="G46" i="1"/>
  <c r="G45" i="1"/>
  <c r="G47" i="1" s="1"/>
  <c r="G49" i="1" s="1"/>
  <c r="F22" i="4" s="1"/>
  <c r="F27" i="4" s="1"/>
  <c r="G27" i="4" s="1"/>
  <c r="E45" i="1"/>
  <c r="E47" i="1" s="1"/>
  <c r="E49" i="1" s="1"/>
  <c r="F45" i="1"/>
  <c r="F47" i="1" s="1"/>
  <c r="F49" i="1" s="1"/>
  <c r="L45" i="1"/>
  <c r="L47" i="1" s="1"/>
  <c r="L49" i="1" s="1"/>
  <c r="K22" i="4" s="1"/>
  <c r="K32" i="4" s="1"/>
  <c r="L32" i="4" s="1"/>
  <c r="M45" i="1"/>
  <c r="M47" i="1" s="1"/>
  <c r="M49" i="1" s="1"/>
  <c r="L22" i="4" s="1"/>
  <c r="L33" i="4" s="1"/>
  <c r="M33" i="4" s="1"/>
  <c r="K45" i="1"/>
  <c r="K47" i="1" s="1"/>
  <c r="K49" i="1" s="1"/>
  <c r="J22" i="4" s="1"/>
  <c r="J31" i="4" s="1"/>
  <c r="K31" i="4" s="1"/>
  <c r="K37" i="4" s="1"/>
  <c r="D46" i="1"/>
  <c r="C45" i="1"/>
  <c r="D45" i="1"/>
  <c r="D47" i="1" s="1"/>
  <c r="D5" i="1"/>
  <c r="H5" i="1"/>
  <c r="K5" i="1"/>
  <c r="G5" i="1"/>
  <c r="N5" i="1"/>
  <c r="J5" i="1"/>
  <c r="O5" i="1"/>
  <c r="P5" i="1"/>
  <c r="Q23" i="1" l="1"/>
  <c r="Q25" i="1" s="1"/>
  <c r="G75" i="1"/>
  <c r="G82" i="1" s="1"/>
  <c r="I45" i="1"/>
  <c r="I47" i="1" s="1"/>
  <c r="I49" i="1" s="1"/>
  <c r="H22" i="4" s="1"/>
  <c r="H29" i="4" s="1"/>
  <c r="I29" i="4" s="1"/>
  <c r="I37" i="4" s="1"/>
  <c r="L37" i="4"/>
  <c r="D22" i="4"/>
  <c r="D25" i="4" s="1"/>
  <c r="E25" i="4" s="1"/>
  <c r="J37" i="4"/>
  <c r="P22" i="4"/>
  <c r="G22" i="4"/>
  <c r="G28" i="4" s="1"/>
  <c r="H28" i="4" s="1"/>
  <c r="H37" i="4" s="1"/>
  <c r="E75" i="1"/>
  <c r="E82" i="1" s="1"/>
  <c r="K87" i="1"/>
  <c r="J3" i="4" s="1"/>
  <c r="H87" i="1"/>
  <c r="G3" i="4" s="1"/>
  <c r="R75" i="1"/>
  <c r="R82" i="1" s="1"/>
  <c r="F75" i="1"/>
  <c r="F82" i="1" s="1"/>
  <c r="I75" i="1"/>
  <c r="I82" i="1" s="1"/>
  <c r="K75" i="1"/>
  <c r="K82" i="1" s="1"/>
  <c r="C82" i="1"/>
  <c r="F23" i="1"/>
  <c r="F25" i="1" s="1"/>
  <c r="E22" i="4" s="1"/>
  <c r="E26" i="4" s="1"/>
  <c r="F26" i="4" s="1"/>
  <c r="F37" i="4" s="1"/>
  <c r="L75" i="1"/>
  <c r="L82" i="1" s="1"/>
  <c r="P87" i="1"/>
  <c r="O3" i="4" s="1"/>
  <c r="O87" i="1"/>
  <c r="N3" i="4" s="1"/>
  <c r="D87" i="1"/>
  <c r="C3" i="4" s="1"/>
  <c r="M87" i="1"/>
  <c r="L3" i="4" s="1"/>
  <c r="H75" i="1"/>
  <c r="H82" i="1" s="1"/>
  <c r="J87" i="1"/>
  <c r="I3" i="4" s="1"/>
  <c r="N87" i="1"/>
  <c r="M3" i="4" s="1"/>
  <c r="G87" i="1"/>
  <c r="F3" i="4" s="1"/>
  <c r="D75" i="1"/>
  <c r="D82" i="1" s="1"/>
  <c r="J75" i="1"/>
  <c r="J82" i="1" s="1"/>
  <c r="N45" i="1"/>
  <c r="N47" i="1" s="1"/>
  <c r="N49" i="1" s="1"/>
  <c r="M22" i="4" s="1"/>
  <c r="M34" i="4" s="1"/>
  <c r="N34" i="4" s="1"/>
  <c r="N37" i="4" s="1"/>
  <c r="P47" i="1"/>
  <c r="P49" i="1" s="1"/>
  <c r="O22" i="4" s="1"/>
  <c r="O36" i="4" s="1"/>
  <c r="P36" i="4" s="1"/>
  <c r="P37" i="4" s="1"/>
  <c r="D49" i="1"/>
  <c r="C22" i="4" s="1"/>
  <c r="L5" i="1"/>
  <c r="I5" i="1"/>
  <c r="F5" i="1"/>
  <c r="E5" i="1"/>
  <c r="O37" i="4" l="1"/>
  <c r="F8" i="4"/>
  <c r="G8" i="4"/>
  <c r="H8" i="4"/>
  <c r="O15" i="4"/>
  <c r="M15" i="4"/>
  <c r="N15" i="4"/>
  <c r="O16" i="4"/>
  <c r="N16" i="4"/>
  <c r="P16" i="4"/>
  <c r="I11" i="4"/>
  <c r="K11" i="4"/>
  <c r="J11" i="4"/>
  <c r="M14" i="4"/>
  <c r="L14" i="4"/>
  <c r="N14" i="4"/>
  <c r="E37" i="4"/>
  <c r="M37" i="4"/>
  <c r="K12" i="4"/>
  <c r="L12" i="4"/>
  <c r="J12" i="4"/>
  <c r="D5" i="4"/>
  <c r="C18" i="4"/>
  <c r="D24" i="4"/>
  <c r="D37" i="4" s="1"/>
  <c r="C37" i="4"/>
  <c r="G37" i="4"/>
  <c r="G9" i="4"/>
  <c r="I9" i="4"/>
  <c r="H9" i="4"/>
  <c r="G89" i="1"/>
  <c r="G91" i="1" s="1"/>
  <c r="G99" i="1" s="1"/>
  <c r="O89" i="1"/>
  <c r="O91" i="1" s="1"/>
  <c r="O99" i="1" s="1"/>
  <c r="K89" i="1"/>
  <c r="K91" i="1" s="1"/>
  <c r="K99" i="1" s="1"/>
  <c r="M89" i="1"/>
  <c r="M91" i="1" s="1"/>
  <c r="M99" i="1" s="1"/>
  <c r="I87" i="1"/>
  <c r="H3" i="4" s="1"/>
  <c r="N89" i="1"/>
  <c r="N91" i="1" s="1"/>
  <c r="N99" i="1" s="1"/>
  <c r="J89" i="1"/>
  <c r="J91" i="1" s="1"/>
  <c r="J99" i="1" s="1"/>
  <c r="E87" i="1"/>
  <c r="D3" i="4" s="1"/>
  <c r="E3" i="4"/>
  <c r="L87" i="1"/>
  <c r="K3" i="4" s="1"/>
  <c r="D89" i="1"/>
  <c r="D91" i="1" s="1"/>
  <c r="D99" i="1" s="1"/>
  <c r="H89" i="1"/>
  <c r="H91" i="1" s="1"/>
  <c r="H99" i="1" s="1"/>
  <c r="P89" i="1"/>
  <c r="P91" i="1" s="1"/>
  <c r="P99" i="1" s="1"/>
  <c r="D18" i="4" l="1"/>
  <c r="D43" i="4" s="1"/>
  <c r="D44" i="4" s="1"/>
  <c r="D52" i="4" s="1"/>
  <c r="D58" i="4" s="1"/>
  <c r="E41" i="4" s="1"/>
  <c r="I20" i="3"/>
  <c r="I27" i="3" s="1"/>
  <c r="I30" i="3" s="1"/>
  <c r="E19" i="3" s="1"/>
  <c r="E20" i="3" s="1"/>
  <c r="L13" i="4"/>
  <c r="L18" i="4" s="1"/>
  <c r="L43" i="4" s="1"/>
  <c r="K13" i="4"/>
  <c r="K18" i="4" s="1"/>
  <c r="K43" i="4" s="1"/>
  <c r="M13" i="4"/>
  <c r="M18" i="4" s="1"/>
  <c r="G7" i="4"/>
  <c r="G18" i="4" s="1"/>
  <c r="G43" i="4" s="1"/>
  <c r="F7" i="4"/>
  <c r="F6" i="4"/>
  <c r="F18" i="4" s="1"/>
  <c r="F43" i="4" s="1"/>
  <c r="E18" i="4"/>
  <c r="E43" i="4" s="1"/>
  <c r="D6" i="4"/>
  <c r="O43" i="4"/>
  <c r="J10" i="4"/>
  <c r="J18" i="4" s="1"/>
  <c r="J43" i="4" s="1"/>
  <c r="I10" i="4"/>
  <c r="I18" i="4" s="1"/>
  <c r="I43" i="4" s="1"/>
  <c r="H10" i="4"/>
  <c r="H18" i="4" s="1"/>
  <c r="H43" i="4" s="1"/>
  <c r="N18" i="4"/>
  <c r="N43" i="4" s="1"/>
  <c r="L89" i="1"/>
  <c r="L91" i="1" s="1"/>
  <c r="L99" i="1" s="1"/>
  <c r="E89" i="1"/>
  <c r="E91" i="1" s="1"/>
  <c r="E99" i="1" s="1"/>
  <c r="F89" i="1"/>
  <c r="F91" i="1" s="1"/>
  <c r="F99" i="1" s="1"/>
  <c r="I89" i="1"/>
  <c r="I91" i="1" s="1"/>
  <c r="I99" i="1" s="1"/>
  <c r="E44" i="4" l="1"/>
  <c r="E52" i="4" s="1"/>
  <c r="E58" i="4" s="1"/>
  <c r="F41" i="4" s="1"/>
  <c r="F44" i="4" s="1"/>
  <c r="F52" i="4" s="1"/>
  <c r="F58" i="4" s="1"/>
  <c r="G41" i="4" s="1"/>
  <c r="G44" i="4" s="1"/>
  <c r="G52" i="4" s="1"/>
  <c r="G58" i="4" s="1"/>
  <c r="H41" i="4" s="1"/>
  <c r="H44" i="4" s="1"/>
  <c r="H52" i="4" s="1"/>
  <c r="H58" i="4" s="1"/>
  <c r="I41" i="4" s="1"/>
  <c r="I44" i="4" s="1"/>
  <c r="I52" i="4" s="1"/>
  <c r="I58" i="4" s="1"/>
  <c r="J41" i="4" s="1"/>
  <c r="J44" i="4" s="1"/>
  <c r="J52" i="4" s="1"/>
  <c r="J58" i="4" s="1"/>
  <c r="K41" i="4" s="1"/>
  <c r="K44" i="4" s="1"/>
  <c r="K52" i="4" s="1"/>
  <c r="K58" i="4" s="1"/>
  <c r="L41" i="4" s="1"/>
  <c r="L44" i="4" s="1"/>
  <c r="L52" i="4" s="1"/>
  <c r="L58" i="4" s="1"/>
  <c r="M41" i="4" s="1"/>
  <c r="M44" i="4" s="1"/>
  <c r="M52" i="4" s="1"/>
  <c r="M58" i="4" s="1"/>
  <c r="N41" i="4" s="1"/>
  <c r="N44" i="4" s="1"/>
  <c r="N52" i="4" s="1"/>
  <c r="N58" i="4" s="1"/>
  <c r="O41" i="4" s="1"/>
  <c r="P43" i="4"/>
  <c r="P44" i="4" s="1"/>
  <c r="P52" i="4" s="1"/>
  <c r="P58" i="4" s="1"/>
  <c r="O44" i="4"/>
  <c r="O52" i="4" s="1"/>
  <c r="O58" i="4" s="1"/>
  <c r="E5" i="3" l="1"/>
  <c r="E1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Safa Sabry</author>
  </authors>
  <commentList>
    <comment ref="M4" authorId="0" shapeId="0" xr:uid="{8FE52EF4-30B9-49C4-8670-A2CAC5B38D76}">
      <text>
        <r>
          <rPr>
            <b/>
            <sz val="9"/>
            <color indexed="81"/>
            <rFont val="Tahoma"/>
            <family val="2"/>
          </rPr>
          <t>Safa Sabry:</t>
        </r>
        <r>
          <rPr>
            <sz val="9"/>
            <color indexed="81"/>
            <rFont val="Tahoma"/>
            <family val="2"/>
          </rPr>
          <t xml:space="preserve">
discount </t>
        </r>
      </text>
    </comment>
  </commentList>
</comments>
</file>

<file path=xl/sharedStrings.xml><?xml version="1.0" encoding="utf-8"?>
<sst xmlns="http://schemas.openxmlformats.org/spreadsheetml/2006/main" count="194" uniqueCount="140">
  <si>
    <t xml:space="preserve">Sales Budget </t>
  </si>
  <si>
    <t xml:space="preserve">Expected unit sales </t>
  </si>
  <si>
    <t xml:space="preserve">Unit selling price </t>
  </si>
  <si>
    <t xml:space="preserve">Total sales </t>
  </si>
  <si>
    <t>Production Budget</t>
  </si>
  <si>
    <t>Expected unit sales (from Sales Budget)</t>
  </si>
  <si>
    <t>Total required units</t>
  </si>
  <si>
    <t>LESS: Beginning finished goods units</t>
  </si>
  <si>
    <t>Direct Materials Budget - Plastic</t>
  </si>
  <si>
    <t>Sales</t>
  </si>
  <si>
    <t>Jan</t>
  </si>
  <si>
    <t>Feb</t>
  </si>
  <si>
    <t xml:space="preserve">Direct Materials Budget - Alloy Steel </t>
  </si>
  <si>
    <t>Direct Materials Budget - Assembly Kits</t>
  </si>
  <si>
    <t xml:space="preserve">Direct Labour Budget (fabrication labour) </t>
  </si>
  <si>
    <t xml:space="preserve">Advertising </t>
  </si>
  <si>
    <t xml:space="preserve">Sales salaries </t>
  </si>
  <si>
    <t xml:space="preserve">Office salaries </t>
  </si>
  <si>
    <t xml:space="preserve">Depreciation </t>
  </si>
  <si>
    <t xml:space="preserve">Plastic </t>
  </si>
  <si>
    <t xml:space="preserve">variable MOH/ unit </t>
  </si>
  <si>
    <t xml:space="preserve">total fixed MOH </t>
  </si>
  <si>
    <t>Required production units (given)</t>
  </si>
  <si>
    <t>ADD: Ending finished goods units</t>
  </si>
  <si>
    <t xml:space="preserve">Required Production in units </t>
  </si>
  <si>
    <t xml:space="preserve">Direct Matreial per unit (kg) </t>
  </si>
  <si>
    <t xml:space="preserve">Total req. for production </t>
  </si>
  <si>
    <t xml:space="preserve">End inventory </t>
  </si>
  <si>
    <t xml:space="preserve">Total required </t>
  </si>
  <si>
    <t xml:space="preserve">Beginning inventory </t>
  </si>
  <si>
    <t xml:space="preserve">DM purchases </t>
  </si>
  <si>
    <t>Cost per DM unit ($)</t>
  </si>
  <si>
    <t>Total cost of purchases ($)</t>
  </si>
  <si>
    <t>Direct Matreial per unit (0.5 s/m)</t>
  </si>
  <si>
    <t>Production</t>
  </si>
  <si>
    <t xml:space="preserve">Hours per unit </t>
  </si>
  <si>
    <t xml:space="preserve">Total hours </t>
  </si>
  <si>
    <t>Cost per hour</t>
  </si>
  <si>
    <t xml:space="preserve">Total cost of DL </t>
  </si>
  <si>
    <t>Direct Labour Budget (assembly labour)</t>
  </si>
  <si>
    <t xml:space="preserve">MOH Budget </t>
  </si>
  <si>
    <t xml:space="preserve">Fabrication Hours </t>
  </si>
  <si>
    <t xml:space="preserve">Variable Costs </t>
  </si>
  <si>
    <t xml:space="preserve">Maintenance </t>
  </si>
  <si>
    <t xml:space="preserve">Utilities </t>
  </si>
  <si>
    <t xml:space="preserve">Indirect Materials </t>
  </si>
  <si>
    <t xml:space="preserve">Indirect Labour </t>
  </si>
  <si>
    <t xml:space="preserve">Total variable costs </t>
  </si>
  <si>
    <t xml:space="preserve">Fixed Costs </t>
  </si>
  <si>
    <t xml:space="preserve">Taxes and insurance </t>
  </si>
  <si>
    <t xml:space="preserve">Total fixed costs </t>
  </si>
  <si>
    <t xml:space="preserve">Total MOH </t>
  </si>
  <si>
    <t xml:space="preserve">Supervisor salaries </t>
  </si>
  <si>
    <t>S&amp;A Budget</t>
  </si>
  <si>
    <t xml:space="preserve">Unit sales </t>
  </si>
  <si>
    <t>Sales ($)</t>
  </si>
  <si>
    <t>Sales commisions</t>
  </si>
  <si>
    <t xml:space="preserve">Freight out </t>
  </si>
  <si>
    <t xml:space="preserve">Fixed costs </t>
  </si>
  <si>
    <t xml:space="preserve">Property taxes </t>
  </si>
  <si>
    <t>Total S&amp;A</t>
  </si>
  <si>
    <t xml:space="preserve">Collection schedule </t>
  </si>
  <si>
    <t xml:space="preserve">Total Collections </t>
  </si>
  <si>
    <t xml:space="preserve">Payment schedule </t>
  </si>
  <si>
    <t>Total DM purchases</t>
  </si>
  <si>
    <t>Total payments</t>
  </si>
  <si>
    <t xml:space="preserve">sales discount </t>
  </si>
  <si>
    <t xml:space="preserve">DM/unit </t>
  </si>
  <si>
    <t xml:space="preserve">DL/unit </t>
  </si>
  <si>
    <t xml:space="preserve">Alloy steel </t>
  </si>
  <si>
    <t xml:space="preserve">plastic </t>
  </si>
  <si>
    <t xml:space="preserve">assembly kits </t>
  </si>
  <si>
    <t xml:space="preserve">total DM/unit </t>
  </si>
  <si>
    <t>fabrication</t>
  </si>
  <si>
    <t xml:space="preserve">assembly </t>
  </si>
  <si>
    <t xml:space="preserve">total DL/unit </t>
  </si>
  <si>
    <t xml:space="preserve">Total MOH/unit </t>
  </si>
  <si>
    <t>Fixed MOH/unit</t>
  </si>
  <si>
    <t xml:space="preserve">units produced </t>
  </si>
  <si>
    <t xml:space="preserve">FMOH/ unit </t>
  </si>
  <si>
    <t>Escooter Inc.</t>
  </si>
  <si>
    <t xml:space="preserve">Escooter Inc. </t>
  </si>
  <si>
    <t xml:space="preserve">Budgeted Income Statement </t>
  </si>
  <si>
    <t>For the year ended Dec, 2025</t>
  </si>
  <si>
    <t xml:space="preserve">COGS </t>
  </si>
  <si>
    <t xml:space="preserve">Gross profit </t>
  </si>
  <si>
    <t>S&amp;A</t>
  </si>
  <si>
    <t xml:space="preserve">Operating income </t>
  </si>
  <si>
    <t xml:space="preserve">cost per unit </t>
  </si>
  <si>
    <t xml:space="preserve">B. cash balance </t>
  </si>
  <si>
    <t xml:space="preserve">Cash receipts </t>
  </si>
  <si>
    <t xml:space="preserve">Collections </t>
  </si>
  <si>
    <t xml:space="preserve">Available cash </t>
  </si>
  <si>
    <t xml:space="preserve">cash dispursments </t>
  </si>
  <si>
    <t xml:space="preserve">DM payments </t>
  </si>
  <si>
    <t xml:space="preserve">DL </t>
  </si>
  <si>
    <t xml:space="preserve">MOH </t>
  </si>
  <si>
    <t xml:space="preserve">Dividends </t>
  </si>
  <si>
    <t xml:space="preserve">Total dispursements </t>
  </si>
  <si>
    <t xml:space="preserve">Financing </t>
  </si>
  <si>
    <t xml:space="preserve">Borrowing </t>
  </si>
  <si>
    <t xml:space="preserve">Repayment </t>
  </si>
  <si>
    <t xml:space="preserve">Interest </t>
  </si>
  <si>
    <t xml:space="preserve">Ending Cash Balance </t>
  </si>
  <si>
    <t xml:space="preserve">Excess (deficiency) </t>
  </si>
  <si>
    <t xml:space="preserve">Total </t>
  </si>
  <si>
    <t xml:space="preserve">Balance Sheet </t>
  </si>
  <si>
    <t>As at Dec, 2025</t>
  </si>
  <si>
    <t xml:space="preserve">Assets </t>
  </si>
  <si>
    <t xml:space="preserve">Cash </t>
  </si>
  <si>
    <t xml:space="preserve">Accounts Receivable </t>
  </si>
  <si>
    <t xml:space="preserve">Raw materials inventory </t>
  </si>
  <si>
    <t xml:space="preserve">Assembly kits </t>
  </si>
  <si>
    <t xml:space="preserve">Finished good inventory </t>
  </si>
  <si>
    <t xml:space="preserve">Property, plant and equipment </t>
  </si>
  <si>
    <t xml:space="preserve">Total assets </t>
  </si>
  <si>
    <t xml:space="preserve">Liabilities and Shareholders equity </t>
  </si>
  <si>
    <t>Accounts payable</t>
  </si>
  <si>
    <t xml:space="preserve">Long term note </t>
  </si>
  <si>
    <t xml:space="preserve">Common shares </t>
  </si>
  <si>
    <t xml:space="preserve">Retained earnings </t>
  </si>
  <si>
    <t xml:space="preserve">Total liabilities and SE </t>
  </si>
  <si>
    <t>Total 2025</t>
  </si>
  <si>
    <t xml:space="preserve">Beg cash balance </t>
  </si>
  <si>
    <t>beg A.R</t>
  </si>
  <si>
    <t>beg F.G</t>
  </si>
  <si>
    <t>beg raw materials</t>
  </si>
  <si>
    <t>PPE</t>
  </si>
  <si>
    <t>beg A/P</t>
  </si>
  <si>
    <t>beg LT liab</t>
  </si>
  <si>
    <t xml:space="preserve">beg common shares </t>
  </si>
  <si>
    <t>beg R.E</t>
  </si>
  <si>
    <t xml:space="preserve">net income </t>
  </si>
  <si>
    <t xml:space="preserve">dividends </t>
  </si>
  <si>
    <t>=</t>
  </si>
  <si>
    <t>Ending R.E</t>
  </si>
  <si>
    <t xml:space="preserve">Interest expense </t>
  </si>
  <si>
    <t xml:space="preserve">Cash budget </t>
  </si>
  <si>
    <t xml:space="preserve">Net Income </t>
  </si>
  <si>
    <t>Q.24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</si>
</sst>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16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3" borderId="0" xfId="0" applyFill="1"/>
    <xf numFmtId="165" fontId="0" fillId="3" borderId="0" xfId="1" applyNumberFormat="1" applyFont="1" applyFill="1" applyBorder="1"/>
    <xf numFmtId="0" fontId="0" fillId="3" borderId="1" xfId="0" applyFill="1" applyBorder="1"/>
    <xf numFmtId="0" fontId="0" fillId="3" borderId="3" xfId="0" applyFill="1" applyBorder="1"/>
    <xf numFmtId="2" fontId="0" fillId="3" borderId="0" xfId="0" applyNumberFormat="1" applyFill="1"/>
    <xf numFmtId="0" fontId="0" fillId="3" borderId="2" xfId="0" applyFill="1" applyBorder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Currency 2" xfId="2" xr:uid="{3603F8E1-ABB5-4F3F-A21A-43112B249293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7020-4900-4DF7-A76E-FF5A8A836346}">
  <dimension ref="B1:S126"/>
  <sheetViews>
    <sheetView tabSelected="1" topLeftCell="B1" zoomScale="76" workbookViewId="0">
      <selection activeCell="B108" sqref="B108"/>
    </sheetView>
  </sheetViews>
  <sheetFormatPr defaultRowHeight="14.25" x14ac:dyDescent="0.45"/>
  <cols>
    <col min="2" max="2" width="55.33203125" bestFit="1" customWidth="1"/>
    <col min="3" max="3" width="9.73046875" bestFit="1" customWidth="1"/>
    <col min="4" max="4" width="15.53125" bestFit="1" customWidth="1"/>
    <col min="5" max="5" width="15.06640625" customWidth="1"/>
    <col min="6" max="6" width="17.1328125" customWidth="1"/>
    <col min="7" max="7" width="11.53125" bestFit="1" customWidth="1"/>
    <col min="8" max="8" width="13.73046875" customWidth="1"/>
    <col min="9" max="9" width="15" customWidth="1"/>
    <col min="10" max="12" width="11.53125" bestFit="1" customWidth="1"/>
    <col min="13" max="13" width="9.9296875" bestFit="1" customWidth="1"/>
    <col min="14" max="17" width="11.53125" bestFit="1" customWidth="1"/>
    <col min="19" max="19" width="9.73046875" bestFit="1" customWidth="1"/>
  </cols>
  <sheetData>
    <row r="1" spans="2:19" x14ac:dyDescent="0.45">
      <c r="B1" s="3"/>
      <c r="C1" s="14" t="s">
        <v>0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2:19" x14ac:dyDescent="0.45">
      <c r="B2" s="3"/>
      <c r="C2" s="5">
        <v>45985</v>
      </c>
      <c r="D2" s="5">
        <v>46015</v>
      </c>
      <c r="E2" s="5">
        <v>45682</v>
      </c>
      <c r="F2" s="5">
        <v>45713</v>
      </c>
      <c r="G2" s="5">
        <v>45741</v>
      </c>
      <c r="H2" s="5">
        <v>45772</v>
      </c>
      <c r="I2" s="5">
        <v>45802</v>
      </c>
      <c r="J2" s="5">
        <v>45833</v>
      </c>
      <c r="K2" s="5">
        <v>45863</v>
      </c>
      <c r="L2" s="5">
        <v>45894</v>
      </c>
      <c r="M2" s="5">
        <v>45925</v>
      </c>
      <c r="N2" s="5">
        <v>45955</v>
      </c>
      <c r="O2" s="5">
        <v>45986</v>
      </c>
      <c r="P2" s="5">
        <v>46016</v>
      </c>
      <c r="Q2" s="5" t="s">
        <v>10</v>
      </c>
      <c r="R2" t="s">
        <v>11</v>
      </c>
      <c r="S2" s="3" t="s">
        <v>122</v>
      </c>
    </row>
    <row r="3" spans="2:19" x14ac:dyDescent="0.45">
      <c r="B3" t="s">
        <v>1</v>
      </c>
      <c r="C3">
        <f t="shared" ref="C3:Q3" si="0">C9</f>
        <v>8800</v>
      </c>
      <c r="D3">
        <f t="shared" si="0"/>
        <v>9720</v>
      </c>
      <c r="E3" s="8">
        <f t="shared" si="0"/>
        <v>10540</v>
      </c>
      <c r="F3">
        <f t="shared" si="0"/>
        <v>14280</v>
      </c>
      <c r="G3">
        <f t="shared" si="0"/>
        <v>22200</v>
      </c>
      <c r="H3">
        <f t="shared" si="0"/>
        <v>24900</v>
      </c>
      <c r="I3">
        <f t="shared" si="0"/>
        <v>29280</v>
      </c>
      <c r="J3">
        <f t="shared" si="0"/>
        <v>37260</v>
      </c>
      <c r="K3">
        <f t="shared" si="0"/>
        <v>26240</v>
      </c>
      <c r="L3">
        <f t="shared" si="0"/>
        <v>23480</v>
      </c>
      <c r="M3">
        <f t="shared" si="0"/>
        <v>39000</v>
      </c>
      <c r="N3">
        <f t="shared" si="0"/>
        <v>15980</v>
      </c>
      <c r="O3">
        <f t="shared" si="0"/>
        <v>10080</v>
      </c>
      <c r="P3">
        <f t="shared" si="0"/>
        <v>9840</v>
      </c>
      <c r="Q3">
        <f t="shared" si="0"/>
        <v>11400</v>
      </c>
      <c r="S3">
        <f>SUM(E3:P3)</f>
        <v>263080</v>
      </c>
    </row>
    <row r="4" spans="2:19" x14ac:dyDescent="0.45">
      <c r="B4" t="s">
        <v>2</v>
      </c>
      <c r="C4" s="1">
        <v>409</v>
      </c>
      <c r="D4" s="1">
        <v>409</v>
      </c>
      <c r="E4" s="1">
        <v>409</v>
      </c>
      <c r="F4" s="1">
        <v>409</v>
      </c>
      <c r="G4" s="1">
        <v>409</v>
      </c>
      <c r="H4" s="1">
        <v>409</v>
      </c>
      <c r="I4" s="1">
        <v>409</v>
      </c>
      <c r="J4" s="1">
        <v>409</v>
      </c>
      <c r="K4" s="1">
        <v>409</v>
      </c>
      <c r="L4" s="1">
        <v>409</v>
      </c>
      <c r="M4" s="1">
        <f>M5/M3</f>
        <v>360</v>
      </c>
      <c r="N4" s="1">
        <v>409</v>
      </c>
      <c r="O4" s="1">
        <v>409</v>
      </c>
      <c r="P4" s="1">
        <v>409</v>
      </c>
      <c r="Q4" s="1">
        <v>409</v>
      </c>
      <c r="R4" s="1"/>
      <c r="S4">
        <f t="shared" ref="S4" si="1">SUM(E4:P4)</f>
        <v>4859</v>
      </c>
    </row>
    <row r="5" spans="2:19" x14ac:dyDescent="0.45">
      <c r="B5" t="s">
        <v>3</v>
      </c>
      <c r="C5">
        <f t="shared" ref="C5:L5" si="2">C4*C3</f>
        <v>3599200</v>
      </c>
      <c r="D5">
        <f t="shared" si="2"/>
        <v>3975480</v>
      </c>
      <c r="E5">
        <f t="shared" si="2"/>
        <v>4310860</v>
      </c>
      <c r="F5">
        <f t="shared" si="2"/>
        <v>5840520</v>
      </c>
      <c r="G5">
        <f t="shared" si="2"/>
        <v>9079800</v>
      </c>
      <c r="H5">
        <f t="shared" si="2"/>
        <v>10184100</v>
      </c>
      <c r="I5">
        <f t="shared" si="2"/>
        <v>11975520</v>
      </c>
      <c r="J5">
        <f t="shared" si="2"/>
        <v>15239340</v>
      </c>
      <c r="K5">
        <f t="shared" si="2"/>
        <v>10732160</v>
      </c>
      <c r="L5">
        <f t="shared" si="2"/>
        <v>9603320</v>
      </c>
      <c r="M5">
        <v>14040000</v>
      </c>
      <c r="N5">
        <f>N4*N3</f>
        <v>6535820</v>
      </c>
      <c r="O5">
        <f>O4*O3</f>
        <v>4122720</v>
      </c>
      <c r="P5">
        <f>P4*P3</f>
        <v>4024560</v>
      </c>
      <c r="Q5">
        <f>Q4*Q3</f>
        <v>4662600</v>
      </c>
      <c r="S5">
        <f>SUM(E5:P5)</f>
        <v>105688720</v>
      </c>
    </row>
    <row r="6" spans="2:19" x14ac:dyDescent="0.45">
      <c r="K6" s="8" t="s">
        <v>66</v>
      </c>
      <c r="L6" s="9">
        <f>-(M4/409-1)</f>
        <v>0.11980440097799516</v>
      </c>
    </row>
    <row r="7" spans="2:19" x14ac:dyDescent="0.45">
      <c r="B7" s="3"/>
      <c r="C7" s="14" t="s">
        <v>4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2:19" x14ac:dyDescent="0.45">
      <c r="B8" s="3"/>
      <c r="C8" s="5">
        <v>45985</v>
      </c>
      <c r="D8" s="5">
        <v>46015</v>
      </c>
      <c r="E8" s="5">
        <v>45682</v>
      </c>
      <c r="F8" s="5">
        <v>45713</v>
      </c>
      <c r="G8" s="5">
        <v>45741</v>
      </c>
      <c r="H8" s="5">
        <v>45772</v>
      </c>
      <c r="I8" s="5">
        <v>45802</v>
      </c>
      <c r="J8" s="5">
        <v>45833</v>
      </c>
      <c r="K8" s="5">
        <v>45863</v>
      </c>
      <c r="L8" s="5">
        <v>45894</v>
      </c>
      <c r="M8" s="5">
        <v>45925</v>
      </c>
      <c r="N8" s="5">
        <v>45955</v>
      </c>
      <c r="O8" s="5">
        <v>45986</v>
      </c>
      <c r="P8" s="5">
        <v>46016</v>
      </c>
      <c r="Q8" s="5" t="s">
        <v>10</v>
      </c>
      <c r="R8" s="5" t="s">
        <v>11</v>
      </c>
    </row>
    <row r="9" spans="2:19" x14ac:dyDescent="0.45">
      <c r="B9" t="s">
        <v>5</v>
      </c>
      <c r="C9">
        <f t="shared" ref="C9:Q9" si="3">C11-C10</f>
        <v>8800</v>
      </c>
      <c r="D9">
        <f t="shared" si="3"/>
        <v>9720</v>
      </c>
      <c r="E9">
        <f t="shared" si="3"/>
        <v>10540</v>
      </c>
      <c r="F9">
        <f t="shared" si="3"/>
        <v>14280</v>
      </c>
      <c r="G9">
        <f t="shared" si="3"/>
        <v>22200</v>
      </c>
      <c r="H9">
        <f t="shared" si="3"/>
        <v>24900</v>
      </c>
      <c r="I9">
        <f t="shared" si="3"/>
        <v>29280</v>
      </c>
      <c r="J9">
        <f t="shared" si="3"/>
        <v>37260</v>
      </c>
      <c r="K9">
        <f t="shared" si="3"/>
        <v>26240</v>
      </c>
      <c r="L9">
        <f t="shared" si="3"/>
        <v>23480</v>
      </c>
      <c r="M9">
        <f t="shared" si="3"/>
        <v>39000</v>
      </c>
      <c r="N9">
        <f t="shared" si="3"/>
        <v>15980</v>
      </c>
      <c r="O9">
        <f t="shared" si="3"/>
        <v>10080</v>
      </c>
      <c r="P9">
        <f t="shared" si="3"/>
        <v>9840</v>
      </c>
      <c r="Q9">
        <f t="shared" si="3"/>
        <v>11400</v>
      </c>
      <c r="S9">
        <f>SUM(E9:P9)</f>
        <v>263080</v>
      </c>
    </row>
    <row r="10" spans="2:19" x14ac:dyDescent="0.45">
      <c r="B10" t="s">
        <v>23</v>
      </c>
      <c r="C10" s="1">
        <f>D13*0.2</f>
        <v>2000</v>
      </c>
      <c r="D10" s="1">
        <f>E13*0.2</f>
        <v>2280</v>
      </c>
      <c r="E10" s="1">
        <f t="shared" ref="C10:Q10" si="4">F13*0.2</f>
        <v>3140</v>
      </c>
      <c r="F10" s="1">
        <f t="shared" si="4"/>
        <v>4560</v>
      </c>
      <c r="G10" s="1">
        <f t="shared" si="4"/>
        <v>5160</v>
      </c>
      <c r="H10" s="1">
        <f t="shared" si="4"/>
        <v>6060</v>
      </c>
      <c r="I10" s="10">
        <f t="shared" si="4"/>
        <v>7080</v>
      </c>
      <c r="J10" s="1">
        <f t="shared" si="4"/>
        <v>5220</v>
      </c>
      <c r="K10" s="1">
        <f t="shared" si="4"/>
        <v>5080</v>
      </c>
      <c r="L10" s="1">
        <f t="shared" si="4"/>
        <v>7000</v>
      </c>
      <c r="M10" s="1">
        <f t="shared" si="4"/>
        <v>3000</v>
      </c>
      <c r="N10" s="1">
        <f t="shared" si="4"/>
        <v>2020</v>
      </c>
      <c r="O10" s="1">
        <f t="shared" si="4"/>
        <v>2040</v>
      </c>
      <c r="P10" s="1">
        <f t="shared" si="4"/>
        <v>2400</v>
      </c>
      <c r="Q10" s="1">
        <f t="shared" si="4"/>
        <v>3000</v>
      </c>
      <c r="R10" s="1"/>
      <c r="S10">
        <f>P10</f>
        <v>2400</v>
      </c>
    </row>
    <row r="11" spans="2:19" x14ac:dyDescent="0.45">
      <c r="B11" t="s">
        <v>6</v>
      </c>
      <c r="C11" s="4">
        <f t="shared" ref="C11:R11" si="5">SUM(C13+C12)</f>
        <v>10800</v>
      </c>
      <c r="D11" s="4">
        <f>SUM(D13+D12)</f>
        <v>12000</v>
      </c>
      <c r="E11" s="4">
        <f t="shared" si="5"/>
        <v>13680</v>
      </c>
      <c r="F11" s="4">
        <f t="shared" si="5"/>
        <v>18840</v>
      </c>
      <c r="G11" s="4">
        <f t="shared" si="5"/>
        <v>27360</v>
      </c>
      <c r="H11" s="4">
        <f t="shared" si="5"/>
        <v>30960</v>
      </c>
      <c r="I11" s="4">
        <f t="shared" si="5"/>
        <v>36360</v>
      </c>
      <c r="J11" s="4">
        <f t="shared" si="5"/>
        <v>42480</v>
      </c>
      <c r="K11" s="4">
        <f t="shared" si="5"/>
        <v>31320</v>
      </c>
      <c r="L11" s="4">
        <f t="shared" si="5"/>
        <v>30480</v>
      </c>
      <c r="M11" s="4">
        <f t="shared" si="5"/>
        <v>42000</v>
      </c>
      <c r="N11" s="4">
        <f t="shared" si="5"/>
        <v>18000</v>
      </c>
      <c r="O11" s="4">
        <f t="shared" si="5"/>
        <v>12120</v>
      </c>
      <c r="P11" s="4">
        <f t="shared" si="5"/>
        <v>12240</v>
      </c>
      <c r="Q11" s="4">
        <f t="shared" si="5"/>
        <v>14400</v>
      </c>
      <c r="R11" s="4">
        <f t="shared" si="5"/>
        <v>18000</v>
      </c>
      <c r="S11">
        <f>S9+S10</f>
        <v>265480</v>
      </c>
    </row>
    <row r="12" spans="2:19" x14ac:dyDescent="0.45">
      <c r="B12" t="s">
        <v>7</v>
      </c>
      <c r="C12" s="1">
        <f>0.2*C13</f>
        <v>1800</v>
      </c>
      <c r="D12" s="1">
        <f>C10</f>
        <v>2000</v>
      </c>
      <c r="E12" s="1">
        <f t="shared" ref="D12:R12" si="6">D10</f>
        <v>2280</v>
      </c>
      <c r="F12" s="1">
        <f t="shared" si="6"/>
        <v>3140</v>
      </c>
      <c r="G12" s="1">
        <f t="shared" si="6"/>
        <v>4560</v>
      </c>
      <c r="H12" s="1">
        <f t="shared" si="6"/>
        <v>5160</v>
      </c>
      <c r="I12" s="1">
        <f t="shared" si="6"/>
        <v>6060</v>
      </c>
      <c r="J12" s="1">
        <f t="shared" si="6"/>
        <v>7080</v>
      </c>
      <c r="K12" s="1">
        <f t="shared" si="6"/>
        <v>5220</v>
      </c>
      <c r="L12" s="1">
        <f t="shared" si="6"/>
        <v>5080</v>
      </c>
      <c r="M12" s="1">
        <f t="shared" si="6"/>
        <v>7000</v>
      </c>
      <c r="N12" s="1">
        <f t="shared" si="6"/>
        <v>3000</v>
      </c>
      <c r="O12" s="1">
        <f t="shared" si="6"/>
        <v>2020</v>
      </c>
      <c r="P12" s="1">
        <f t="shared" si="6"/>
        <v>2040</v>
      </c>
      <c r="Q12" s="1">
        <f t="shared" si="6"/>
        <v>2400</v>
      </c>
      <c r="R12" s="1">
        <f t="shared" si="6"/>
        <v>3000</v>
      </c>
      <c r="S12">
        <f>E12</f>
        <v>2280</v>
      </c>
    </row>
    <row r="13" spans="2:19" x14ac:dyDescent="0.45">
      <c r="B13" t="s">
        <v>22</v>
      </c>
      <c r="C13">
        <v>9000</v>
      </c>
      <c r="D13">
        <v>10000</v>
      </c>
      <c r="E13">
        <v>11400</v>
      </c>
      <c r="F13">
        <v>15700</v>
      </c>
      <c r="G13">
        <v>22800</v>
      </c>
      <c r="H13">
        <v>25800</v>
      </c>
      <c r="I13">
        <v>30300</v>
      </c>
      <c r="J13">
        <v>35400</v>
      </c>
      <c r="K13">
        <v>26100</v>
      </c>
      <c r="L13">
        <v>25400</v>
      </c>
      <c r="M13">
        <v>35000</v>
      </c>
      <c r="N13">
        <v>15000</v>
      </c>
      <c r="O13">
        <v>10100</v>
      </c>
      <c r="P13">
        <v>10200</v>
      </c>
      <c r="Q13">
        <v>12000</v>
      </c>
      <c r="R13">
        <v>15000</v>
      </c>
      <c r="S13">
        <f>S11-S12</f>
        <v>263200</v>
      </c>
    </row>
    <row r="15" spans="2:19" x14ac:dyDescent="0.45">
      <c r="B15" s="3"/>
      <c r="C15" s="14" t="s">
        <v>12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2:19" x14ac:dyDescent="0.45">
      <c r="C16" s="5">
        <v>45985</v>
      </c>
      <c r="D16" s="5">
        <v>46015</v>
      </c>
      <c r="E16" s="5">
        <v>45682</v>
      </c>
      <c r="F16" s="5">
        <v>45713</v>
      </c>
      <c r="G16" s="5">
        <v>45741</v>
      </c>
      <c r="H16" s="5">
        <v>45772</v>
      </c>
      <c r="I16" s="5">
        <v>45802</v>
      </c>
      <c r="J16" s="5">
        <v>45833</v>
      </c>
      <c r="K16" s="5">
        <v>45863</v>
      </c>
      <c r="L16" s="5">
        <v>45894</v>
      </c>
      <c r="M16" s="5">
        <v>45925</v>
      </c>
      <c r="N16" s="5">
        <v>45955</v>
      </c>
      <c r="O16" s="5">
        <v>45986</v>
      </c>
      <c r="P16" s="5">
        <v>46016</v>
      </c>
      <c r="Q16" s="5" t="s">
        <v>10</v>
      </c>
      <c r="R16" s="5" t="s">
        <v>11</v>
      </c>
    </row>
    <row r="17" spans="2:19" x14ac:dyDescent="0.45">
      <c r="B17" t="s">
        <v>24</v>
      </c>
      <c r="C17">
        <f t="shared" ref="C17:R17" si="7">C13</f>
        <v>9000</v>
      </c>
      <c r="D17">
        <f t="shared" si="7"/>
        <v>10000</v>
      </c>
      <c r="E17">
        <f t="shared" si="7"/>
        <v>11400</v>
      </c>
      <c r="F17">
        <f t="shared" si="7"/>
        <v>15700</v>
      </c>
      <c r="G17">
        <f t="shared" si="7"/>
        <v>22800</v>
      </c>
      <c r="H17">
        <f t="shared" si="7"/>
        <v>25800</v>
      </c>
      <c r="I17">
        <f t="shared" si="7"/>
        <v>30300</v>
      </c>
      <c r="J17">
        <f t="shared" si="7"/>
        <v>35400</v>
      </c>
      <c r="K17">
        <f t="shared" si="7"/>
        <v>26100</v>
      </c>
      <c r="L17">
        <f t="shared" si="7"/>
        <v>25400</v>
      </c>
      <c r="M17">
        <f t="shared" si="7"/>
        <v>35000</v>
      </c>
      <c r="N17">
        <f t="shared" si="7"/>
        <v>15000</v>
      </c>
      <c r="O17">
        <f t="shared" si="7"/>
        <v>10100</v>
      </c>
      <c r="P17">
        <f t="shared" si="7"/>
        <v>10200</v>
      </c>
      <c r="Q17">
        <f t="shared" si="7"/>
        <v>12000</v>
      </c>
      <c r="R17">
        <f t="shared" si="7"/>
        <v>15000</v>
      </c>
      <c r="S17">
        <f>SUM(E17:P17)</f>
        <v>263200</v>
      </c>
    </row>
    <row r="18" spans="2:19" x14ac:dyDescent="0.45">
      <c r="B18" t="s">
        <v>33</v>
      </c>
      <c r="C18" s="1">
        <v>0.5</v>
      </c>
      <c r="D18" s="1">
        <v>0.5</v>
      </c>
      <c r="E18" s="1">
        <v>0.5</v>
      </c>
      <c r="F18" s="1">
        <v>0.5</v>
      </c>
      <c r="G18" s="1">
        <v>0.5</v>
      </c>
      <c r="H18" s="1">
        <v>0.5</v>
      </c>
      <c r="I18" s="1">
        <v>0.5</v>
      </c>
      <c r="J18" s="1">
        <v>0.5</v>
      </c>
      <c r="K18" s="1">
        <v>0.5</v>
      </c>
      <c r="L18" s="1">
        <v>0.5</v>
      </c>
      <c r="M18" s="1">
        <v>0.5</v>
      </c>
      <c r="N18" s="1">
        <v>0.5</v>
      </c>
      <c r="O18" s="1">
        <v>0.5</v>
      </c>
      <c r="P18" s="1">
        <v>0.5</v>
      </c>
      <c r="Q18" s="1">
        <v>0.5</v>
      </c>
      <c r="R18" s="1">
        <v>0.5</v>
      </c>
      <c r="S18">
        <v>0.5</v>
      </c>
    </row>
    <row r="19" spans="2:19" x14ac:dyDescent="0.45">
      <c r="B19" t="s">
        <v>26</v>
      </c>
      <c r="C19" s="4">
        <f>C17*C18</f>
        <v>4500</v>
      </c>
      <c r="D19" s="4">
        <f t="shared" ref="C19:S19" si="8">D17*D18</f>
        <v>5000</v>
      </c>
      <c r="E19" s="4">
        <f t="shared" si="8"/>
        <v>5700</v>
      </c>
      <c r="F19" s="4">
        <f t="shared" si="8"/>
        <v>7850</v>
      </c>
      <c r="G19" s="4">
        <f t="shared" si="8"/>
        <v>11400</v>
      </c>
      <c r="H19" s="4">
        <f t="shared" si="8"/>
        <v>12900</v>
      </c>
      <c r="I19" s="4">
        <f t="shared" si="8"/>
        <v>15150</v>
      </c>
      <c r="J19" s="4">
        <f t="shared" si="8"/>
        <v>17700</v>
      </c>
      <c r="K19" s="4">
        <f t="shared" si="8"/>
        <v>13050</v>
      </c>
      <c r="L19" s="4">
        <f t="shared" si="8"/>
        <v>12700</v>
      </c>
      <c r="M19" s="4">
        <f t="shared" si="8"/>
        <v>17500</v>
      </c>
      <c r="N19" s="4">
        <f t="shared" si="8"/>
        <v>7500</v>
      </c>
      <c r="O19" s="4">
        <f t="shared" si="8"/>
        <v>5050</v>
      </c>
      <c r="P19" s="4">
        <f t="shared" si="8"/>
        <v>5100</v>
      </c>
      <c r="Q19" s="4">
        <f t="shared" si="8"/>
        <v>6000</v>
      </c>
      <c r="R19" s="4">
        <f t="shared" si="8"/>
        <v>7500</v>
      </c>
      <c r="S19">
        <f t="shared" si="8"/>
        <v>131600</v>
      </c>
    </row>
    <row r="20" spans="2:19" x14ac:dyDescent="0.45">
      <c r="B20" t="s">
        <v>27</v>
      </c>
      <c r="C20" s="1">
        <f>21%*D19</f>
        <v>1050</v>
      </c>
      <c r="D20" s="1">
        <f t="shared" ref="C20:Q20" si="9">21%*E19</f>
        <v>1197</v>
      </c>
      <c r="E20" s="1">
        <f t="shared" si="9"/>
        <v>1648.5</v>
      </c>
      <c r="F20" s="1">
        <f t="shared" si="9"/>
        <v>2394</v>
      </c>
      <c r="G20" s="1">
        <f t="shared" si="9"/>
        <v>2709</v>
      </c>
      <c r="H20" s="1">
        <f t="shared" si="9"/>
        <v>3181.5</v>
      </c>
      <c r="I20" s="1">
        <f t="shared" si="9"/>
        <v>3717</v>
      </c>
      <c r="J20" s="1">
        <f t="shared" si="9"/>
        <v>2740.5</v>
      </c>
      <c r="K20" s="1">
        <f t="shared" si="9"/>
        <v>2667</v>
      </c>
      <c r="L20" s="1">
        <f t="shared" si="9"/>
        <v>3675</v>
      </c>
      <c r="M20" s="1">
        <f t="shared" si="9"/>
        <v>1575</v>
      </c>
      <c r="N20" s="1">
        <f t="shared" si="9"/>
        <v>1060.5</v>
      </c>
      <c r="O20" s="1">
        <f t="shared" si="9"/>
        <v>1071</v>
      </c>
      <c r="P20" s="1">
        <f t="shared" si="9"/>
        <v>1260</v>
      </c>
      <c r="Q20" s="1">
        <f t="shared" si="9"/>
        <v>1575</v>
      </c>
      <c r="R20" s="1"/>
      <c r="S20">
        <f>P20</f>
        <v>1260</v>
      </c>
    </row>
    <row r="21" spans="2:19" x14ac:dyDescent="0.45">
      <c r="B21" t="s">
        <v>28</v>
      </c>
      <c r="C21" s="4">
        <f>C19+C20</f>
        <v>5550</v>
      </c>
      <c r="D21" s="4">
        <f t="shared" ref="C21:S21" si="10">D19+D20</f>
        <v>6197</v>
      </c>
      <c r="E21" s="4">
        <f t="shared" si="10"/>
        <v>7348.5</v>
      </c>
      <c r="F21" s="4">
        <f t="shared" si="10"/>
        <v>10244</v>
      </c>
      <c r="G21" s="4">
        <f t="shared" si="10"/>
        <v>14109</v>
      </c>
      <c r="H21" s="4">
        <f t="shared" si="10"/>
        <v>16081.5</v>
      </c>
      <c r="I21" s="4">
        <f t="shared" si="10"/>
        <v>18867</v>
      </c>
      <c r="J21" s="4">
        <f t="shared" si="10"/>
        <v>20440.5</v>
      </c>
      <c r="K21" s="4">
        <f t="shared" si="10"/>
        <v>15717</v>
      </c>
      <c r="L21" s="4">
        <f t="shared" si="10"/>
        <v>16375</v>
      </c>
      <c r="M21" s="4">
        <f t="shared" si="10"/>
        <v>19075</v>
      </c>
      <c r="N21" s="4">
        <f t="shared" si="10"/>
        <v>8560.5</v>
      </c>
      <c r="O21" s="4">
        <f t="shared" si="10"/>
        <v>6121</v>
      </c>
      <c r="P21" s="4">
        <f t="shared" si="10"/>
        <v>6360</v>
      </c>
      <c r="Q21" s="4">
        <f t="shared" si="10"/>
        <v>7575</v>
      </c>
      <c r="R21" s="4">
        <f t="shared" si="10"/>
        <v>7500</v>
      </c>
      <c r="S21">
        <f t="shared" si="10"/>
        <v>132860</v>
      </c>
    </row>
    <row r="22" spans="2:19" x14ac:dyDescent="0.45">
      <c r="B22" t="s">
        <v>29</v>
      </c>
      <c r="C22" s="1"/>
      <c r="D22" s="1">
        <f>C20</f>
        <v>1050</v>
      </c>
      <c r="E22" s="1">
        <f t="shared" ref="D22:R22" si="11">D20</f>
        <v>1197</v>
      </c>
      <c r="F22" s="1">
        <f t="shared" si="11"/>
        <v>1648.5</v>
      </c>
      <c r="G22" s="1">
        <f t="shared" si="11"/>
        <v>2394</v>
      </c>
      <c r="H22" s="1">
        <f t="shared" si="11"/>
        <v>2709</v>
      </c>
      <c r="I22" s="1">
        <f t="shared" si="11"/>
        <v>3181.5</v>
      </c>
      <c r="J22" s="1">
        <f t="shared" si="11"/>
        <v>3717</v>
      </c>
      <c r="K22" s="1">
        <f t="shared" si="11"/>
        <v>2740.5</v>
      </c>
      <c r="L22" s="1">
        <f t="shared" si="11"/>
        <v>2667</v>
      </c>
      <c r="M22" s="1">
        <f t="shared" si="11"/>
        <v>3675</v>
      </c>
      <c r="N22" s="1">
        <f t="shared" si="11"/>
        <v>1575</v>
      </c>
      <c r="O22" s="1">
        <f t="shared" si="11"/>
        <v>1060.5</v>
      </c>
      <c r="P22" s="1">
        <f t="shared" si="11"/>
        <v>1071</v>
      </c>
      <c r="Q22" s="1">
        <f t="shared" si="11"/>
        <v>1260</v>
      </c>
      <c r="R22" s="1">
        <f t="shared" si="11"/>
        <v>1575</v>
      </c>
      <c r="S22">
        <f>E22</f>
        <v>1197</v>
      </c>
    </row>
    <row r="23" spans="2:19" x14ac:dyDescent="0.45">
      <c r="B23" t="s">
        <v>30</v>
      </c>
      <c r="C23" s="4"/>
      <c r="D23" s="4">
        <f>D21-D22</f>
        <v>5147</v>
      </c>
      <c r="E23" s="11">
        <f t="shared" ref="D23:Q23" si="12">E21-E22</f>
        <v>6151.5</v>
      </c>
      <c r="F23" s="4">
        <f t="shared" si="12"/>
        <v>8595.5</v>
      </c>
      <c r="G23" s="4">
        <f t="shared" si="12"/>
        <v>11715</v>
      </c>
      <c r="H23" s="4">
        <f t="shared" si="12"/>
        <v>13372.5</v>
      </c>
      <c r="I23" s="4">
        <f t="shared" si="12"/>
        <v>15685.5</v>
      </c>
      <c r="J23" s="4">
        <f t="shared" si="12"/>
        <v>16723.5</v>
      </c>
      <c r="K23" s="4">
        <f t="shared" si="12"/>
        <v>12976.5</v>
      </c>
      <c r="L23" s="4">
        <f t="shared" si="12"/>
        <v>13708</v>
      </c>
      <c r="M23" s="4">
        <f t="shared" si="12"/>
        <v>15400</v>
      </c>
      <c r="N23" s="4">
        <f t="shared" si="12"/>
        <v>6985.5</v>
      </c>
      <c r="O23" s="4">
        <f t="shared" si="12"/>
        <v>5060.5</v>
      </c>
      <c r="P23" s="4">
        <f t="shared" si="12"/>
        <v>5289</v>
      </c>
      <c r="Q23" s="4">
        <f t="shared" si="12"/>
        <v>6315</v>
      </c>
      <c r="R23" s="4"/>
      <c r="S23">
        <f>S21-S22</f>
        <v>131663</v>
      </c>
    </row>
    <row r="24" spans="2:19" x14ac:dyDescent="0.45">
      <c r="B24" t="s">
        <v>31</v>
      </c>
      <c r="C24" s="1">
        <v>46</v>
      </c>
      <c r="D24" s="1">
        <v>46</v>
      </c>
      <c r="E24" s="1">
        <v>46</v>
      </c>
      <c r="F24" s="1">
        <v>46</v>
      </c>
      <c r="G24" s="1">
        <v>46</v>
      </c>
      <c r="H24" s="1">
        <v>46</v>
      </c>
      <c r="I24" s="1">
        <v>46</v>
      </c>
      <c r="J24" s="1">
        <v>46</v>
      </c>
      <c r="K24" s="1">
        <v>46</v>
      </c>
      <c r="L24" s="1">
        <v>46</v>
      </c>
      <c r="M24" s="1">
        <v>46</v>
      </c>
      <c r="N24" s="1">
        <v>46</v>
      </c>
      <c r="O24" s="1">
        <v>46</v>
      </c>
      <c r="P24" s="1">
        <v>46</v>
      </c>
      <c r="Q24" s="1">
        <v>46</v>
      </c>
      <c r="R24" s="1"/>
      <c r="S24">
        <v>46</v>
      </c>
    </row>
    <row r="25" spans="2:19" x14ac:dyDescent="0.45">
      <c r="B25" t="s">
        <v>32</v>
      </c>
      <c r="D25">
        <f t="shared" ref="D25:Q25" si="13">D24*D23</f>
        <v>236762</v>
      </c>
      <c r="E25">
        <f t="shared" si="13"/>
        <v>282969</v>
      </c>
      <c r="F25">
        <f t="shared" si="13"/>
        <v>395393</v>
      </c>
      <c r="G25">
        <f t="shared" si="13"/>
        <v>538890</v>
      </c>
      <c r="H25">
        <f t="shared" si="13"/>
        <v>615135</v>
      </c>
      <c r="I25">
        <f t="shared" si="13"/>
        <v>721533</v>
      </c>
      <c r="J25">
        <f t="shared" si="13"/>
        <v>769281</v>
      </c>
      <c r="K25">
        <f t="shared" si="13"/>
        <v>596919</v>
      </c>
      <c r="L25">
        <f t="shared" si="13"/>
        <v>630568</v>
      </c>
      <c r="M25">
        <f t="shared" si="13"/>
        <v>708400</v>
      </c>
      <c r="N25">
        <f t="shared" si="13"/>
        <v>321333</v>
      </c>
      <c r="O25">
        <f t="shared" si="13"/>
        <v>232783</v>
      </c>
      <c r="P25">
        <f t="shared" si="13"/>
        <v>243294</v>
      </c>
      <c r="Q25">
        <f t="shared" si="13"/>
        <v>290490</v>
      </c>
      <c r="S25">
        <f>S23*S24</f>
        <v>6056498</v>
      </c>
    </row>
    <row r="27" spans="2:19" x14ac:dyDescent="0.45">
      <c r="B27" s="3"/>
      <c r="C27" s="14" t="s">
        <v>8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2:19" x14ac:dyDescent="0.45">
      <c r="C28" s="5">
        <v>45985</v>
      </c>
      <c r="D28" s="5">
        <v>46015</v>
      </c>
      <c r="E28" s="5">
        <v>45682</v>
      </c>
      <c r="F28" s="5">
        <v>45713</v>
      </c>
      <c r="G28" s="5">
        <v>45741</v>
      </c>
      <c r="H28" s="5">
        <v>45772</v>
      </c>
      <c r="I28" s="5">
        <v>45802</v>
      </c>
      <c r="J28" s="5">
        <v>45833</v>
      </c>
      <c r="K28" s="5">
        <v>45863</v>
      </c>
      <c r="L28" s="5">
        <v>45894</v>
      </c>
      <c r="M28" s="5">
        <v>45925</v>
      </c>
      <c r="N28" s="5">
        <v>45955</v>
      </c>
      <c r="O28" s="5">
        <v>45986</v>
      </c>
      <c r="P28" s="5">
        <v>46016</v>
      </c>
      <c r="Q28" s="5" t="s">
        <v>10</v>
      </c>
      <c r="R28" s="5" t="s">
        <v>11</v>
      </c>
    </row>
    <row r="29" spans="2:19" x14ac:dyDescent="0.45">
      <c r="B29" t="s">
        <v>24</v>
      </c>
      <c r="C29">
        <f t="shared" ref="C29:R29" si="14">C13</f>
        <v>9000</v>
      </c>
      <c r="D29">
        <f t="shared" si="14"/>
        <v>10000</v>
      </c>
      <c r="E29">
        <f t="shared" si="14"/>
        <v>11400</v>
      </c>
      <c r="F29">
        <f t="shared" si="14"/>
        <v>15700</v>
      </c>
      <c r="G29">
        <f t="shared" si="14"/>
        <v>22800</v>
      </c>
      <c r="H29">
        <f t="shared" si="14"/>
        <v>25800</v>
      </c>
      <c r="I29">
        <f t="shared" si="14"/>
        <v>30300</v>
      </c>
      <c r="J29">
        <f t="shared" si="14"/>
        <v>35400</v>
      </c>
      <c r="K29">
        <f t="shared" si="14"/>
        <v>26100</v>
      </c>
      <c r="L29">
        <f t="shared" si="14"/>
        <v>25400</v>
      </c>
      <c r="M29">
        <f t="shared" si="14"/>
        <v>35000</v>
      </c>
      <c r="N29">
        <f t="shared" si="14"/>
        <v>15000</v>
      </c>
      <c r="O29">
        <f t="shared" si="14"/>
        <v>10100</v>
      </c>
      <c r="P29">
        <f t="shared" si="14"/>
        <v>10200</v>
      </c>
      <c r="Q29">
        <f t="shared" si="14"/>
        <v>12000</v>
      </c>
      <c r="R29">
        <f t="shared" si="14"/>
        <v>15000</v>
      </c>
      <c r="S29">
        <f>SUM(E29:P29)</f>
        <v>263200</v>
      </c>
    </row>
    <row r="30" spans="2:19" x14ac:dyDescent="0.45">
      <c r="B30" t="s">
        <v>25</v>
      </c>
      <c r="C30" s="1">
        <v>2</v>
      </c>
      <c r="D30" s="1">
        <v>2</v>
      </c>
      <c r="E30" s="1">
        <v>2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  <c r="S30">
        <v>2</v>
      </c>
    </row>
    <row r="31" spans="2:19" x14ac:dyDescent="0.45">
      <c r="B31" t="s">
        <v>26</v>
      </c>
      <c r="C31" s="4">
        <f t="shared" ref="C31:S31" si="15">C29*C30</f>
        <v>18000</v>
      </c>
      <c r="D31" s="4">
        <f t="shared" si="15"/>
        <v>20000</v>
      </c>
      <c r="E31" s="4">
        <f t="shared" si="15"/>
        <v>22800</v>
      </c>
      <c r="F31" s="4">
        <f t="shared" si="15"/>
        <v>31400</v>
      </c>
      <c r="G31" s="4">
        <f t="shared" si="15"/>
        <v>45600</v>
      </c>
      <c r="H31" s="4">
        <f t="shared" si="15"/>
        <v>51600</v>
      </c>
      <c r="I31" s="4">
        <f t="shared" si="15"/>
        <v>60600</v>
      </c>
      <c r="J31" s="4">
        <f t="shared" si="15"/>
        <v>70800</v>
      </c>
      <c r="K31" s="4">
        <f t="shared" si="15"/>
        <v>52200</v>
      </c>
      <c r="L31" s="4">
        <f t="shared" si="15"/>
        <v>50800</v>
      </c>
      <c r="M31" s="4">
        <f t="shared" si="15"/>
        <v>70000</v>
      </c>
      <c r="N31" s="4">
        <f t="shared" si="15"/>
        <v>30000</v>
      </c>
      <c r="O31" s="4">
        <f t="shared" si="15"/>
        <v>20200</v>
      </c>
      <c r="P31" s="4">
        <f t="shared" si="15"/>
        <v>20400</v>
      </c>
      <c r="Q31" s="4">
        <f t="shared" si="15"/>
        <v>24000</v>
      </c>
      <c r="R31" s="4">
        <f t="shared" si="15"/>
        <v>30000</v>
      </c>
      <c r="S31">
        <f t="shared" si="15"/>
        <v>526400</v>
      </c>
    </row>
    <row r="32" spans="2:19" x14ac:dyDescent="0.45">
      <c r="B32" t="s">
        <v>27</v>
      </c>
      <c r="C32" s="1">
        <f t="shared" ref="C32:Q32" si="16">21%*D31</f>
        <v>4200</v>
      </c>
      <c r="D32" s="1">
        <f t="shared" si="16"/>
        <v>4788</v>
      </c>
      <c r="E32" s="1">
        <f t="shared" si="16"/>
        <v>6594</v>
      </c>
      <c r="F32" s="1">
        <f t="shared" si="16"/>
        <v>9576</v>
      </c>
      <c r="G32" s="10">
        <f t="shared" si="16"/>
        <v>10836</v>
      </c>
      <c r="H32" s="1">
        <f t="shared" si="16"/>
        <v>12726</v>
      </c>
      <c r="I32" s="1">
        <f t="shared" si="16"/>
        <v>14868</v>
      </c>
      <c r="J32" s="1">
        <f t="shared" si="16"/>
        <v>10962</v>
      </c>
      <c r="K32" s="1">
        <f t="shared" si="16"/>
        <v>10668</v>
      </c>
      <c r="L32" s="1">
        <f t="shared" si="16"/>
        <v>14700</v>
      </c>
      <c r="M32" s="1">
        <f t="shared" si="16"/>
        <v>6300</v>
      </c>
      <c r="N32" s="1">
        <f t="shared" si="16"/>
        <v>4242</v>
      </c>
      <c r="O32" s="1">
        <f t="shared" si="16"/>
        <v>4284</v>
      </c>
      <c r="P32" s="1">
        <f t="shared" si="16"/>
        <v>5040</v>
      </c>
      <c r="Q32" s="1">
        <f t="shared" si="16"/>
        <v>6300</v>
      </c>
      <c r="R32" s="1"/>
      <c r="S32">
        <f>P32</f>
        <v>5040</v>
      </c>
    </row>
    <row r="33" spans="2:19" x14ac:dyDescent="0.45">
      <c r="B33" t="s">
        <v>28</v>
      </c>
      <c r="C33" s="4">
        <f t="shared" ref="C33:S33" si="17">C31+C32</f>
        <v>22200</v>
      </c>
      <c r="D33" s="4">
        <f t="shared" si="17"/>
        <v>24788</v>
      </c>
      <c r="E33" s="4">
        <f t="shared" si="17"/>
        <v>29394</v>
      </c>
      <c r="F33" s="4">
        <f t="shared" si="17"/>
        <v>40976</v>
      </c>
      <c r="G33" s="4">
        <f t="shared" si="17"/>
        <v>56436</v>
      </c>
      <c r="H33" s="4">
        <f t="shared" si="17"/>
        <v>64326</v>
      </c>
      <c r="I33" s="4">
        <f t="shared" si="17"/>
        <v>75468</v>
      </c>
      <c r="J33" s="4">
        <f t="shared" si="17"/>
        <v>81762</v>
      </c>
      <c r="K33" s="4">
        <f t="shared" si="17"/>
        <v>62868</v>
      </c>
      <c r="L33" s="4">
        <f t="shared" si="17"/>
        <v>65500</v>
      </c>
      <c r="M33" s="4">
        <f t="shared" si="17"/>
        <v>76300</v>
      </c>
      <c r="N33" s="4">
        <f t="shared" si="17"/>
        <v>34242</v>
      </c>
      <c r="O33" s="4">
        <f t="shared" si="17"/>
        <v>24484</v>
      </c>
      <c r="P33" s="4">
        <f t="shared" si="17"/>
        <v>25440</v>
      </c>
      <c r="Q33" s="4">
        <f t="shared" si="17"/>
        <v>30300</v>
      </c>
      <c r="R33" s="4">
        <f t="shared" si="17"/>
        <v>30000</v>
      </c>
      <c r="S33">
        <f t="shared" si="17"/>
        <v>531440</v>
      </c>
    </row>
    <row r="34" spans="2:19" x14ac:dyDescent="0.45">
      <c r="B34" t="s">
        <v>29</v>
      </c>
      <c r="C34" s="1"/>
      <c r="D34" s="1">
        <f t="shared" ref="D34:R34" si="18">C32</f>
        <v>4200</v>
      </c>
      <c r="E34" s="1">
        <f t="shared" si="18"/>
        <v>4788</v>
      </c>
      <c r="F34" s="1">
        <f t="shared" si="18"/>
        <v>6594</v>
      </c>
      <c r="G34" s="1">
        <f t="shared" si="18"/>
        <v>9576</v>
      </c>
      <c r="H34" s="1">
        <f t="shared" si="18"/>
        <v>10836</v>
      </c>
      <c r="I34" s="1">
        <f t="shared" si="18"/>
        <v>12726</v>
      </c>
      <c r="J34" s="1">
        <f t="shared" si="18"/>
        <v>14868</v>
      </c>
      <c r="K34" s="1">
        <f t="shared" si="18"/>
        <v>10962</v>
      </c>
      <c r="L34" s="1">
        <f t="shared" si="18"/>
        <v>10668</v>
      </c>
      <c r="M34" s="1">
        <f t="shared" si="18"/>
        <v>14700</v>
      </c>
      <c r="N34" s="1">
        <f t="shared" si="18"/>
        <v>6300</v>
      </c>
      <c r="O34" s="1">
        <f t="shared" si="18"/>
        <v>4242</v>
      </c>
      <c r="P34" s="1">
        <f t="shared" si="18"/>
        <v>4284</v>
      </c>
      <c r="Q34" s="1">
        <f t="shared" si="18"/>
        <v>5040</v>
      </c>
      <c r="R34" s="1">
        <f t="shared" si="18"/>
        <v>6300</v>
      </c>
      <c r="S34">
        <f>E34</f>
        <v>4788</v>
      </c>
    </row>
    <row r="35" spans="2:19" x14ac:dyDescent="0.45">
      <c r="B35" t="s">
        <v>30</v>
      </c>
      <c r="C35" s="4"/>
      <c r="D35" s="4">
        <f t="shared" ref="D35:Q35" si="19">D33-D34</f>
        <v>20588</v>
      </c>
      <c r="E35" s="4">
        <f t="shared" si="19"/>
        <v>24606</v>
      </c>
      <c r="F35" s="4">
        <f t="shared" si="19"/>
        <v>34382</v>
      </c>
      <c r="G35" s="4">
        <f t="shared" si="19"/>
        <v>46860</v>
      </c>
      <c r="H35" s="4">
        <f t="shared" si="19"/>
        <v>53490</v>
      </c>
      <c r="I35" s="4">
        <f t="shared" si="19"/>
        <v>62742</v>
      </c>
      <c r="J35" s="4">
        <f t="shared" si="19"/>
        <v>66894</v>
      </c>
      <c r="K35" s="4">
        <f t="shared" si="19"/>
        <v>51906</v>
      </c>
      <c r="L35" s="4">
        <f t="shared" si="19"/>
        <v>54832</v>
      </c>
      <c r="M35" s="4">
        <f t="shared" si="19"/>
        <v>61600</v>
      </c>
      <c r="N35" s="4">
        <f t="shared" si="19"/>
        <v>27942</v>
      </c>
      <c r="O35" s="4">
        <f t="shared" si="19"/>
        <v>20242</v>
      </c>
      <c r="P35" s="4">
        <f t="shared" si="19"/>
        <v>21156</v>
      </c>
      <c r="Q35" s="4">
        <f t="shared" si="19"/>
        <v>25260</v>
      </c>
      <c r="R35" s="4"/>
      <c r="S35">
        <f>S33-S34</f>
        <v>526652</v>
      </c>
    </row>
    <row r="36" spans="2:19" x14ac:dyDescent="0.45">
      <c r="B36" t="s">
        <v>31</v>
      </c>
      <c r="C36" s="1">
        <v>1.2</v>
      </c>
      <c r="D36" s="1">
        <v>1.2</v>
      </c>
      <c r="E36" s="1">
        <v>1.2</v>
      </c>
      <c r="F36" s="1">
        <v>1.2</v>
      </c>
      <c r="G36" s="1">
        <v>1.2</v>
      </c>
      <c r="H36" s="1">
        <v>1.2</v>
      </c>
      <c r="I36" s="1">
        <v>1.2</v>
      </c>
      <c r="J36" s="1">
        <v>1.2</v>
      </c>
      <c r="K36" s="1">
        <v>1.2</v>
      </c>
      <c r="L36" s="1">
        <v>1.2</v>
      </c>
      <c r="M36" s="1">
        <v>1.2</v>
      </c>
      <c r="N36" s="1">
        <v>1.2</v>
      </c>
      <c r="O36" s="1">
        <v>1.2</v>
      </c>
      <c r="P36" s="1">
        <v>1.2</v>
      </c>
      <c r="Q36" s="1">
        <v>1.2</v>
      </c>
      <c r="R36" s="1"/>
      <c r="S36">
        <v>1.2</v>
      </c>
    </row>
    <row r="37" spans="2:19" x14ac:dyDescent="0.45">
      <c r="B37" t="s">
        <v>32</v>
      </c>
      <c r="D37">
        <f t="shared" ref="D37:Q37" si="20">D36*D35</f>
        <v>24705.599999999999</v>
      </c>
      <c r="E37">
        <f t="shared" si="20"/>
        <v>29527.199999999997</v>
      </c>
      <c r="F37" s="12">
        <f>F36*F35</f>
        <v>41258.400000000001</v>
      </c>
      <c r="G37">
        <f t="shared" si="20"/>
        <v>56232</v>
      </c>
      <c r="H37">
        <f t="shared" si="20"/>
        <v>64188</v>
      </c>
      <c r="I37">
        <f t="shared" si="20"/>
        <v>75290.399999999994</v>
      </c>
      <c r="J37">
        <f t="shared" si="20"/>
        <v>80272.800000000003</v>
      </c>
      <c r="K37">
        <f t="shared" si="20"/>
        <v>62287.199999999997</v>
      </c>
      <c r="L37">
        <f t="shared" si="20"/>
        <v>65798.399999999994</v>
      </c>
      <c r="M37">
        <f t="shared" si="20"/>
        <v>73920</v>
      </c>
      <c r="N37">
        <f t="shared" si="20"/>
        <v>33530.400000000001</v>
      </c>
      <c r="O37">
        <f t="shared" si="20"/>
        <v>24290.399999999998</v>
      </c>
      <c r="P37">
        <f t="shared" si="20"/>
        <v>25387.200000000001</v>
      </c>
      <c r="Q37">
        <f t="shared" si="20"/>
        <v>30312</v>
      </c>
      <c r="S37">
        <f>S35*S36</f>
        <v>631982.4</v>
      </c>
    </row>
    <row r="39" spans="2:19" x14ac:dyDescent="0.45">
      <c r="B39" s="3"/>
      <c r="C39" s="14" t="s">
        <v>13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spans="2:19" x14ac:dyDescent="0.45">
      <c r="C40" s="5">
        <v>45985</v>
      </c>
      <c r="D40" s="5">
        <v>46015</v>
      </c>
      <c r="E40" s="5">
        <v>45682</v>
      </c>
      <c r="F40" s="5">
        <v>45713</v>
      </c>
      <c r="G40" s="5">
        <v>45741</v>
      </c>
      <c r="H40" s="5">
        <v>45772</v>
      </c>
      <c r="I40" s="5">
        <v>45802</v>
      </c>
      <c r="J40" s="5">
        <v>45833</v>
      </c>
      <c r="K40" s="5">
        <v>45863</v>
      </c>
      <c r="L40" s="5">
        <v>45894</v>
      </c>
      <c r="M40" s="5">
        <v>45925</v>
      </c>
      <c r="N40" s="5">
        <v>45955</v>
      </c>
      <c r="O40" s="5">
        <v>45986</v>
      </c>
      <c r="P40" s="5">
        <v>46016</v>
      </c>
      <c r="Q40" s="5" t="s">
        <v>10</v>
      </c>
      <c r="R40" s="5" t="s">
        <v>11</v>
      </c>
    </row>
    <row r="41" spans="2:19" x14ac:dyDescent="0.45">
      <c r="B41" t="s">
        <v>24</v>
      </c>
      <c r="C41">
        <f t="shared" ref="C41:R41" si="21">C13</f>
        <v>9000</v>
      </c>
      <c r="D41">
        <f t="shared" si="21"/>
        <v>10000</v>
      </c>
      <c r="E41">
        <f t="shared" si="21"/>
        <v>11400</v>
      </c>
      <c r="F41">
        <f t="shared" si="21"/>
        <v>15700</v>
      </c>
      <c r="G41">
        <f t="shared" si="21"/>
        <v>22800</v>
      </c>
      <c r="H41">
        <f t="shared" si="21"/>
        <v>25800</v>
      </c>
      <c r="I41">
        <f t="shared" si="21"/>
        <v>30300</v>
      </c>
      <c r="J41">
        <f t="shared" si="21"/>
        <v>35400</v>
      </c>
      <c r="K41">
        <f t="shared" si="21"/>
        <v>26100</v>
      </c>
      <c r="L41">
        <f t="shared" si="21"/>
        <v>25400</v>
      </c>
      <c r="M41">
        <f t="shared" si="21"/>
        <v>35000</v>
      </c>
      <c r="N41">
        <f t="shared" si="21"/>
        <v>15000</v>
      </c>
      <c r="O41">
        <f t="shared" si="21"/>
        <v>10100</v>
      </c>
      <c r="P41">
        <f t="shared" si="21"/>
        <v>10200</v>
      </c>
      <c r="Q41">
        <f t="shared" si="21"/>
        <v>12000</v>
      </c>
      <c r="R41">
        <f t="shared" si="21"/>
        <v>15000</v>
      </c>
      <c r="S41">
        <f>SUM(E41:P41)</f>
        <v>263200</v>
      </c>
    </row>
    <row r="42" spans="2:19" x14ac:dyDescent="0.45">
      <c r="B42" t="s">
        <v>25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>
        <v>1</v>
      </c>
    </row>
    <row r="43" spans="2:19" x14ac:dyDescent="0.45">
      <c r="B43" t="s">
        <v>26</v>
      </c>
      <c r="C43" s="4">
        <f t="shared" ref="C43:S43" si="22">C41*C42</f>
        <v>9000</v>
      </c>
      <c r="D43" s="4">
        <f t="shared" si="22"/>
        <v>10000</v>
      </c>
      <c r="E43" s="4">
        <f t="shared" si="22"/>
        <v>11400</v>
      </c>
      <c r="F43" s="4">
        <f t="shared" si="22"/>
        <v>15700</v>
      </c>
      <c r="G43" s="4">
        <f t="shared" si="22"/>
        <v>22800</v>
      </c>
      <c r="H43" s="4">
        <f t="shared" si="22"/>
        <v>25800</v>
      </c>
      <c r="I43" s="4">
        <f t="shared" si="22"/>
        <v>30300</v>
      </c>
      <c r="J43" s="4">
        <f t="shared" si="22"/>
        <v>35400</v>
      </c>
      <c r="K43" s="4">
        <f t="shared" si="22"/>
        <v>26100</v>
      </c>
      <c r="L43" s="4">
        <f t="shared" si="22"/>
        <v>25400</v>
      </c>
      <c r="M43" s="4">
        <f t="shared" si="22"/>
        <v>35000</v>
      </c>
      <c r="N43" s="4">
        <f t="shared" si="22"/>
        <v>15000</v>
      </c>
      <c r="O43" s="4">
        <f t="shared" si="22"/>
        <v>10100</v>
      </c>
      <c r="P43" s="4">
        <f t="shared" si="22"/>
        <v>10200</v>
      </c>
      <c r="Q43" s="4">
        <f t="shared" si="22"/>
        <v>12000</v>
      </c>
      <c r="R43" s="4">
        <f t="shared" si="22"/>
        <v>15000</v>
      </c>
      <c r="S43">
        <f t="shared" si="22"/>
        <v>263200</v>
      </c>
    </row>
    <row r="44" spans="2:19" x14ac:dyDescent="0.45">
      <c r="B44" t="s">
        <v>27</v>
      </c>
      <c r="C44" s="1">
        <v>1531</v>
      </c>
      <c r="D44" s="1">
        <v>1531</v>
      </c>
      <c r="E44" s="1">
        <v>1531</v>
      </c>
      <c r="F44" s="1">
        <v>1531</v>
      </c>
      <c r="G44" s="1">
        <v>1531</v>
      </c>
      <c r="H44" s="1">
        <v>1531</v>
      </c>
      <c r="I44" s="1">
        <v>1531</v>
      </c>
      <c r="J44" s="1">
        <v>1531</v>
      </c>
      <c r="K44" s="1">
        <v>1531</v>
      </c>
      <c r="L44" s="1">
        <v>1531</v>
      </c>
      <c r="M44" s="1">
        <v>1531</v>
      </c>
      <c r="N44" s="1">
        <v>1531</v>
      </c>
      <c r="O44" s="1">
        <v>1531</v>
      </c>
      <c r="P44" s="1">
        <v>1531</v>
      </c>
      <c r="Q44" s="1">
        <v>1531</v>
      </c>
      <c r="R44" s="1">
        <v>1531</v>
      </c>
      <c r="S44">
        <f>P44</f>
        <v>1531</v>
      </c>
    </row>
    <row r="45" spans="2:19" x14ac:dyDescent="0.45">
      <c r="B45" t="s">
        <v>28</v>
      </c>
      <c r="C45" s="4">
        <f t="shared" ref="C45:S45" si="23">C43+C44</f>
        <v>10531</v>
      </c>
      <c r="D45" s="4">
        <f t="shared" si="23"/>
        <v>11531</v>
      </c>
      <c r="E45" s="4">
        <f t="shared" si="23"/>
        <v>12931</v>
      </c>
      <c r="F45" s="4">
        <f t="shared" si="23"/>
        <v>17231</v>
      </c>
      <c r="G45" s="4">
        <f t="shared" si="23"/>
        <v>24331</v>
      </c>
      <c r="H45" s="4">
        <f t="shared" si="23"/>
        <v>27331</v>
      </c>
      <c r="I45" s="4">
        <f t="shared" si="23"/>
        <v>31831</v>
      </c>
      <c r="J45" s="4">
        <f t="shared" si="23"/>
        <v>36931</v>
      </c>
      <c r="K45" s="4">
        <f t="shared" si="23"/>
        <v>27631</v>
      </c>
      <c r="L45" s="4">
        <f t="shared" si="23"/>
        <v>26931</v>
      </c>
      <c r="M45" s="4">
        <f t="shared" si="23"/>
        <v>36531</v>
      </c>
      <c r="N45" s="4">
        <f t="shared" si="23"/>
        <v>16531</v>
      </c>
      <c r="O45" s="4">
        <f t="shared" si="23"/>
        <v>11631</v>
      </c>
      <c r="P45" s="4">
        <f t="shared" si="23"/>
        <v>11731</v>
      </c>
      <c r="Q45" s="4">
        <f t="shared" si="23"/>
        <v>13531</v>
      </c>
      <c r="R45" s="4">
        <f t="shared" si="23"/>
        <v>16531</v>
      </c>
      <c r="S45">
        <f t="shared" si="23"/>
        <v>264731</v>
      </c>
    </row>
    <row r="46" spans="2:19" x14ac:dyDescent="0.45">
      <c r="B46" t="s">
        <v>29</v>
      </c>
      <c r="C46" s="1"/>
      <c r="D46" s="1">
        <f t="shared" ref="D46:R46" si="24">C44</f>
        <v>1531</v>
      </c>
      <c r="E46" s="1">
        <f t="shared" si="24"/>
        <v>1531</v>
      </c>
      <c r="F46" s="1">
        <f t="shared" si="24"/>
        <v>1531</v>
      </c>
      <c r="G46" s="10">
        <f t="shared" si="24"/>
        <v>1531</v>
      </c>
      <c r="H46" s="1">
        <f t="shared" si="24"/>
        <v>1531</v>
      </c>
      <c r="I46" s="1">
        <f t="shared" si="24"/>
        <v>1531</v>
      </c>
      <c r="J46" s="1">
        <f t="shared" si="24"/>
        <v>1531</v>
      </c>
      <c r="K46" s="1">
        <f t="shared" si="24"/>
        <v>1531</v>
      </c>
      <c r="L46" s="1">
        <f t="shared" si="24"/>
        <v>1531</v>
      </c>
      <c r="M46" s="1">
        <f t="shared" si="24"/>
        <v>1531</v>
      </c>
      <c r="N46" s="1">
        <f t="shared" si="24"/>
        <v>1531</v>
      </c>
      <c r="O46" s="1">
        <f t="shared" si="24"/>
        <v>1531</v>
      </c>
      <c r="P46" s="1">
        <f t="shared" si="24"/>
        <v>1531</v>
      </c>
      <c r="Q46" s="1">
        <f t="shared" si="24"/>
        <v>1531</v>
      </c>
      <c r="R46" s="1">
        <f t="shared" si="24"/>
        <v>1531</v>
      </c>
      <c r="S46">
        <f>E46</f>
        <v>1531</v>
      </c>
    </row>
    <row r="47" spans="2:19" x14ac:dyDescent="0.45">
      <c r="B47" t="s">
        <v>30</v>
      </c>
      <c r="C47" s="4"/>
      <c r="D47" s="4">
        <f t="shared" ref="D47:Q47" si="25">D45-D46</f>
        <v>10000</v>
      </c>
      <c r="E47" s="4">
        <f t="shared" si="25"/>
        <v>11400</v>
      </c>
      <c r="F47" s="4">
        <f t="shared" si="25"/>
        <v>15700</v>
      </c>
      <c r="G47" s="4">
        <f t="shared" si="25"/>
        <v>22800</v>
      </c>
      <c r="H47" s="4">
        <f t="shared" si="25"/>
        <v>25800</v>
      </c>
      <c r="I47" s="4">
        <f t="shared" si="25"/>
        <v>30300</v>
      </c>
      <c r="J47" s="4">
        <f t="shared" si="25"/>
        <v>35400</v>
      </c>
      <c r="K47" s="4">
        <f t="shared" si="25"/>
        <v>26100</v>
      </c>
      <c r="L47" s="4">
        <f t="shared" si="25"/>
        <v>25400</v>
      </c>
      <c r="M47" s="4">
        <f t="shared" si="25"/>
        <v>35000</v>
      </c>
      <c r="N47" s="4">
        <f t="shared" si="25"/>
        <v>15000</v>
      </c>
      <c r="O47" s="4">
        <f t="shared" si="25"/>
        <v>10100</v>
      </c>
      <c r="P47" s="4">
        <f t="shared" si="25"/>
        <v>10200</v>
      </c>
      <c r="Q47" s="4">
        <f t="shared" si="25"/>
        <v>12000</v>
      </c>
      <c r="R47" s="4"/>
      <c r="S47">
        <f>S45-S46</f>
        <v>263200</v>
      </c>
    </row>
    <row r="48" spans="2:19" x14ac:dyDescent="0.45">
      <c r="B48" t="s">
        <v>31</v>
      </c>
      <c r="C48" s="1">
        <v>156</v>
      </c>
      <c r="D48" s="1">
        <v>156</v>
      </c>
      <c r="E48" s="1">
        <v>156</v>
      </c>
      <c r="F48" s="1">
        <v>156</v>
      </c>
      <c r="G48" s="1">
        <v>156</v>
      </c>
      <c r="H48" s="1">
        <v>156</v>
      </c>
      <c r="I48" s="1">
        <v>156</v>
      </c>
      <c r="J48" s="1">
        <v>156</v>
      </c>
      <c r="K48" s="1">
        <v>156</v>
      </c>
      <c r="L48" s="1">
        <v>156</v>
      </c>
      <c r="M48" s="1">
        <v>156</v>
      </c>
      <c r="N48" s="1">
        <v>156</v>
      </c>
      <c r="O48" s="1">
        <v>156</v>
      </c>
      <c r="P48" s="1">
        <v>156</v>
      </c>
      <c r="Q48" s="1">
        <v>156</v>
      </c>
      <c r="R48" s="1"/>
      <c r="S48">
        <v>156</v>
      </c>
    </row>
    <row r="49" spans="2:19" x14ac:dyDescent="0.45">
      <c r="B49" t="s">
        <v>32</v>
      </c>
      <c r="D49">
        <f t="shared" ref="D49:Q49" si="26">D48*D47</f>
        <v>1560000</v>
      </c>
      <c r="E49">
        <f t="shared" si="26"/>
        <v>1778400</v>
      </c>
      <c r="F49">
        <f t="shared" si="26"/>
        <v>2449200</v>
      </c>
      <c r="G49">
        <f t="shared" si="26"/>
        <v>3556800</v>
      </c>
      <c r="H49" s="8">
        <f t="shared" si="26"/>
        <v>4024800</v>
      </c>
      <c r="I49">
        <f t="shared" si="26"/>
        <v>4726800</v>
      </c>
      <c r="J49">
        <f t="shared" si="26"/>
        <v>5522400</v>
      </c>
      <c r="K49">
        <f t="shared" si="26"/>
        <v>4071600</v>
      </c>
      <c r="L49">
        <f t="shared" si="26"/>
        <v>3962400</v>
      </c>
      <c r="M49">
        <f t="shared" si="26"/>
        <v>5460000</v>
      </c>
      <c r="N49">
        <f t="shared" si="26"/>
        <v>2340000</v>
      </c>
      <c r="O49">
        <f t="shared" si="26"/>
        <v>1575600</v>
      </c>
      <c r="P49">
        <f t="shared" si="26"/>
        <v>1591200</v>
      </c>
      <c r="Q49">
        <f t="shared" si="26"/>
        <v>1872000</v>
      </c>
      <c r="S49">
        <f>S48*S47</f>
        <v>41059200</v>
      </c>
    </row>
    <row r="51" spans="2:19" x14ac:dyDescent="0.45">
      <c r="C51" s="14" t="s">
        <v>14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spans="2:19" x14ac:dyDescent="0.45">
      <c r="C52" s="5">
        <v>45985</v>
      </c>
      <c r="D52" s="5">
        <v>46015</v>
      </c>
      <c r="E52" s="5">
        <v>45682</v>
      </c>
      <c r="F52" s="5">
        <v>45713</v>
      </c>
      <c r="G52" s="5">
        <v>45741</v>
      </c>
      <c r="H52" s="5">
        <v>45772</v>
      </c>
      <c r="I52" s="5">
        <v>45802</v>
      </c>
      <c r="J52" s="5">
        <v>45833</v>
      </c>
      <c r="K52" s="5">
        <v>45863</v>
      </c>
      <c r="L52" s="5">
        <v>45894</v>
      </c>
      <c r="M52" s="5">
        <v>45925</v>
      </c>
      <c r="N52" s="5">
        <v>45955</v>
      </c>
      <c r="O52" s="5">
        <v>45986</v>
      </c>
      <c r="P52" s="5">
        <v>46016</v>
      </c>
      <c r="Q52" s="5" t="s">
        <v>10</v>
      </c>
      <c r="R52" s="5" t="s">
        <v>11</v>
      </c>
    </row>
    <row r="53" spans="2:19" x14ac:dyDescent="0.45">
      <c r="B53" t="s">
        <v>34</v>
      </c>
      <c r="C53">
        <f t="shared" ref="C53:R53" si="27">C17</f>
        <v>9000</v>
      </c>
      <c r="D53">
        <f t="shared" si="27"/>
        <v>10000</v>
      </c>
      <c r="E53">
        <f t="shared" si="27"/>
        <v>11400</v>
      </c>
      <c r="F53">
        <f t="shared" si="27"/>
        <v>15700</v>
      </c>
      <c r="G53">
        <f t="shared" si="27"/>
        <v>22800</v>
      </c>
      <c r="H53">
        <f t="shared" si="27"/>
        <v>25800</v>
      </c>
      <c r="I53">
        <f t="shared" si="27"/>
        <v>30300</v>
      </c>
      <c r="J53">
        <f t="shared" si="27"/>
        <v>35400</v>
      </c>
      <c r="K53">
        <f t="shared" si="27"/>
        <v>26100</v>
      </c>
      <c r="L53">
        <f t="shared" si="27"/>
        <v>25400</v>
      </c>
      <c r="M53">
        <f t="shared" si="27"/>
        <v>35000</v>
      </c>
      <c r="N53">
        <f t="shared" si="27"/>
        <v>15000</v>
      </c>
      <c r="O53">
        <f t="shared" si="27"/>
        <v>10100</v>
      </c>
      <c r="P53">
        <f t="shared" si="27"/>
        <v>10200</v>
      </c>
      <c r="Q53">
        <f t="shared" si="27"/>
        <v>12000</v>
      </c>
      <c r="R53">
        <f t="shared" si="27"/>
        <v>15000</v>
      </c>
      <c r="S53">
        <f>SUM(E53:P53)</f>
        <v>263200</v>
      </c>
    </row>
    <row r="54" spans="2:19" x14ac:dyDescent="0.45">
      <c r="B54" t="s">
        <v>35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>
        <v>2</v>
      </c>
    </row>
    <row r="55" spans="2:19" x14ac:dyDescent="0.45">
      <c r="B55" t="s">
        <v>36</v>
      </c>
      <c r="C55" s="4">
        <f t="shared" ref="C55:R55" si="28">C54*C53</f>
        <v>18000</v>
      </c>
      <c r="D55" s="4">
        <f t="shared" si="28"/>
        <v>20000</v>
      </c>
      <c r="E55" s="4">
        <f t="shared" si="28"/>
        <v>22800</v>
      </c>
      <c r="F55" s="4">
        <f t="shared" si="28"/>
        <v>31400</v>
      </c>
      <c r="G55" s="4">
        <f t="shared" si="28"/>
        <v>45600</v>
      </c>
      <c r="H55" s="4">
        <f t="shared" si="28"/>
        <v>51600</v>
      </c>
      <c r="I55" s="11">
        <f t="shared" si="28"/>
        <v>60600</v>
      </c>
      <c r="J55" s="4">
        <f t="shared" si="28"/>
        <v>70800</v>
      </c>
      <c r="K55" s="4">
        <f t="shared" si="28"/>
        <v>52200</v>
      </c>
      <c r="L55" s="4">
        <f t="shared" si="28"/>
        <v>50800</v>
      </c>
      <c r="M55" s="4">
        <f t="shared" si="28"/>
        <v>70000</v>
      </c>
      <c r="N55" s="4">
        <f t="shared" si="28"/>
        <v>30000</v>
      </c>
      <c r="O55" s="4">
        <f t="shared" si="28"/>
        <v>20200</v>
      </c>
      <c r="P55" s="4">
        <f t="shared" si="28"/>
        <v>20400</v>
      </c>
      <c r="Q55" s="4">
        <f t="shared" si="28"/>
        <v>24000</v>
      </c>
      <c r="R55" s="4">
        <f t="shared" si="28"/>
        <v>30000</v>
      </c>
      <c r="S55">
        <f>S53*S54</f>
        <v>526400</v>
      </c>
    </row>
    <row r="56" spans="2:19" x14ac:dyDescent="0.45">
      <c r="B56" t="s">
        <v>37</v>
      </c>
      <c r="C56" s="1">
        <v>20</v>
      </c>
      <c r="D56" s="1">
        <v>20</v>
      </c>
      <c r="E56" s="1">
        <v>20</v>
      </c>
      <c r="F56" s="1">
        <v>20</v>
      </c>
      <c r="G56" s="1">
        <v>20</v>
      </c>
      <c r="H56" s="1">
        <v>20</v>
      </c>
      <c r="I56" s="1">
        <v>20</v>
      </c>
      <c r="J56" s="1">
        <v>20</v>
      </c>
      <c r="K56" s="1">
        <v>20</v>
      </c>
      <c r="L56" s="1">
        <v>20</v>
      </c>
      <c r="M56" s="1">
        <v>20</v>
      </c>
      <c r="N56" s="1">
        <v>20</v>
      </c>
      <c r="O56" s="1">
        <v>20</v>
      </c>
      <c r="P56" s="1">
        <v>20</v>
      </c>
      <c r="Q56" s="1">
        <v>20</v>
      </c>
      <c r="R56" s="1">
        <v>20</v>
      </c>
      <c r="S56">
        <v>20</v>
      </c>
    </row>
    <row r="57" spans="2:19" x14ac:dyDescent="0.45">
      <c r="B57" t="s">
        <v>38</v>
      </c>
      <c r="C57">
        <f t="shared" ref="C57:S57" si="29">C55*C56</f>
        <v>360000</v>
      </c>
      <c r="D57">
        <f t="shared" si="29"/>
        <v>400000</v>
      </c>
      <c r="E57">
        <f t="shared" si="29"/>
        <v>456000</v>
      </c>
      <c r="F57">
        <f t="shared" si="29"/>
        <v>628000</v>
      </c>
      <c r="G57">
        <f t="shared" si="29"/>
        <v>912000</v>
      </c>
      <c r="H57">
        <f t="shared" si="29"/>
        <v>1032000</v>
      </c>
      <c r="I57">
        <f t="shared" si="29"/>
        <v>1212000</v>
      </c>
      <c r="J57">
        <f t="shared" si="29"/>
        <v>1416000</v>
      </c>
      <c r="K57">
        <f t="shared" si="29"/>
        <v>1044000</v>
      </c>
      <c r="L57">
        <f t="shared" si="29"/>
        <v>1016000</v>
      </c>
      <c r="M57">
        <f t="shared" si="29"/>
        <v>1400000</v>
      </c>
      <c r="N57">
        <f t="shared" si="29"/>
        <v>600000</v>
      </c>
      <c r="O57">
        <f t="shared" si="29"/>
        <v>404000</v>
      </c>
      <c r="P57">
        <f t="shared" si="29"/>
        <v>408000</v>
      </c>
      <c r="Q57">
        <f t="shared" si="29"/>
        <v>480000</v>
      </c>
      <c r="R57">
        <f t="shared" si="29"/>
        <v>600000</v>
      </c>
      <c r="S57">
        <f t="shared" si="29"/>
        <v>10528000</v>
      </c>
    </row>
    <row r="59" spans="2:19" x14ac:dyDescent="0.45">
      <c r="C59" s="14" t="s">
        <v>39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spans="2:19" x14ac:dyDescent="0.45">
      <c r="C60" s="5">
        <v>45985</v>
      </c>
      <c r="D60" s="5">
        <v>46015</v>
      </c>
      <c r="E60" s="5">
        <v>45682</v>
      </c>
      <c r="F60" s="5">
        <v>45713</v>
      </c>
      <c r="G60" s="5">
        <v>45741</v>
      </c>
      <c r="H60" s="5">
        <v>45772</v>
      </c>
      <c r="I60" s="5">
        <v>45802</v>
      </c>
      <c r="J60" s="5">
        <v>45833</v>
      </c>
      <c r="K60" s="5">
        <v>45863</v>
      </c>
      <c r="L60" s="5">
        <v>45894</v>
      </c>
      <c r="M60" s="5">
        <v>45925</v>
      </c>
      <c r="N60" s="5">
        <v>45955</v>
      </c>
      <c r="O60" s="5">
        <v>45986</v>
      </c>
      <c r="P60" s="5">
        <v>46016</v>
      </c>
      <c r="Q60" s="5" t="s">
        <v>10</v>
      </c>
      <c r="R60" s="5" t="s">
        <v>11</v>
      </c>
    </row>
    <row r="61" spans="2:19" x14ac:dyDescent="0.45">
      <c r="B61" t="s">
        <v>34</v>
      </c>
      <c r="C61">
        <f t="shared" ref="C61:R61" si="30">C17</f>
        <v>9000</v>
      </c>
      <c r="D61">
        <f t="shared" si="30"/>
        <v>10000</v>
      </c>
      <c r="E61">
        <f t="shared" si="30"/>
        <v>11400</v>
      </c>
      <c r="F61">
        <f t="shared" si="30"/>
        <v>15700</v>
      </c>
      <c r="G61">
        <f t="shared" si="30"/>
        <v>22800</v>
      </c>
      <c r="H61">
        <f t="shared" si="30"/>
        <v>25800</v>
      </c>
      <c r="I61">
        <f t="shared" si="30"/>
        <v>30300</v>
      </c>
      <c r="J61">
        <f t="shared" si="30"/>
        <v>35400</v>
      </c>
      <c r="K61">
        <f t="shared" si="30"/>
        <v>26100</v>
      </c>
      <c r="L61">
        <f t="shared" si="30"/>
        <v>25400</v>
      </c>
      <c r="M61">
        <f t="shared" si="30"/>
        <v>35000</v>
      </c>
      <c r="N61">
        <f t="shared" si="30"/>
        <v>15000</v>
      </c>
      <c r="O61">
        <f t="shared" si="30"/>
        <v>10100</v>
      </c>
      <c r="P61">
        <f t="shared" si="30"/>
        <v>10200</v>
      </c>
      <c r="Q61">
        <f t="shared" si="30"/>
        <v>12000</v>
      </c>
      <c r="R61">
        <f t="shared" si="30"/>
        <v>15000</v>
      </c>
      <c r="S61">
        <f>SUM(E61:P61)</f>
        <v>263200</v>
      </c>
    </row>
    <row r="62" spans="2:19" x14ac:dyDescent="0.45">
      <c r="B62" t="s">
        <v>35</v>
      </c>
      <c r="C62" s="1">
        <v>0.43</v>
      </c>
      <c r="D62" s="1">
        <v>0.43</v>
      </c>
      <c r="E62" s="1">
        <v>0.43</v>
      </c>
      <c r="F62" s="1">
        <v>0.43</v>
      </c>
      <c r="G62" s="1">
        <v>0.43</v>
      </c>
      <c r="H62" s="1">
        <v>0.43</v>
      </c>
      <c r="I62" s="1">
        <v>0.43</v>
      </c>
      <c r="J62" s="1">
        <v>0.43</v>
      </c>
      <c r="K62" s="1">
        <v>0.43</v>
      </c>
      <c r="L62" s="1">
        <v>0.43</v>
      </c>
      <c r="M62" s="1">
        <v>0.43</v>
      </c>
      <c r="N62" s="1">
        <v>0.43</v>
      </c>
      <c r="O62" s="1">
        <v>0.43</v>
      </c>
      <c r="P62" s="1">
        <v>0.43</v>
      </c>
      <c r="Q62" s="1">
        <v>0.43</v>
      </c>
      <c r="R62" s="1">
        <v>0.43</v>
      </c>
      <c r="S62">
        <v>0.43</v>
      </c>
    </row>
    <row r="63" spans="2:19" x14ac:dyDescent="0.45">
      <c r="B63" t="s">
        <v>36</v>
      </c>
      <c r="C63" s="4">
        <f t="shared" ref="C63:R63" si="31">C61*C62</f>
        <v>3870</v>
      </c>
      <c r="D63" s="4">
        <f t="shared" si="31"/>
        <v>4300</v>
      </c>
      <c r="E63" s="4">
        <f t="shared" si="31"/>
        <v>4902</v>
      </c>
      <c r="F63" s="4">
        <f t="shared" si="31"/>
        <v>6751</v>
      </c>
      <c r="G63" s="4">
        <f t="shared" si="31"/>
        <v>9804</v>
      </c>
      <c r="H63" s="4">
        <f t="shared" si="31"/>
        <v>11094</v>
      </c>
      <c r="I63" s="4">
        <f t="shared" si="31"/>
        <v>13029</v>
      </c>
      <c r="J63" s="4">
        <f t="shared" si="31"/>
        <v>15222</v>
      </c>
      <c r="K63" s="11">
        <f t="shared" si="31"/>
        <v>11223</v>
      </c>
      <c r="L63" s="4">
        <f t="shared" si="31"/>
        <v>10922</v>
      </c>
      <c r="M63" s="4">
        <f t="shared" si="31"/>
        <v>15050</v>
      </c>
      <c r="N63" s="4">
        <f t="shared" si="31"/>
        <v>6450</v>
      </c>
      <c r="O63" s="4">
        <f t="shared" si="31"/>
        <v>4343</v>
      </c>
      <c r="P63" s="4">
        <f t="shared" si="31"/>
        <v>4386</v>
      </c>
      <c r="Q63" s="4">
        <f t="shared" si="31"/>
        <v>5160</v>
      </c>
      <c r="R63" s="4">
        <f t="shared" si="31"/>
        <v>6450</v>
      </c>
      <c r="S63">
        <f>S62*S61</f>
        <v>113176</v>
      </c>
    </row>
    <row r="64" spans="2:19" x14ac:dyDescent="0.45">
      <c r="B64" t="s">
        <v>37</v>
      </c>
      <c r="C64" s="1">
        <v>14</v>
      </c>
      <c r="D64" s="1">
        <v>14</v>
      </c>
      <c r="E64" s="1">
        <v>14</v>
      </c>
      <c r="F64" s="1">
        <v>14</v>
      </c>
      <c r="G64" s="1">
        <v>14</v>
      </c>
      <c r="H64" s="1">
        <v>14</v>
      </c>
      <c r="I64" s="1">
        <v>14</v>
      </c>
      <c r="J64" s="1">
        <v>14</v>
      </c>
      <c r="K64" s="1">
        <v>14</v>
      </c>
      <c r="L64" s="1">
        <v>14</v>
      </c>
      <c r="M64" s="1">
        <v>14</v>
      </c>
      <c r="N64" s="1">
        <v>14</v>
      </c>
      <c r="O64" s="1">
        <v>14</v>
      </c>
      <c r="P64" s="1">
        <v>14</v>
      </c>
      <c r="Q64" s="1">
        <v>14</v>
      </c>
      <c r="R64" s="1">
        <v>14</v>
      </c>
      <c r="S64">
        <v>14</v>
      </c>
    </row>
    <row r="65" spans="2:19" x14ac:dyDescent="0.45">
      <c r="B65" t="s">
        <v>38</v>
      </c>
      <c r="C65">
        <f t="shared" ref="C65:R65" si="32">C63*C64</f>
        <v>54180</v>
      </c>
      <c r="D65">
        <f t="shared" si="32"/>
        <v>60200</v>
      </c>
      <c r="E65">
        <f t="shared" si="32"/>
        <v>68628</v>
      </c>
      <c r="F65">
        <f t="shared" si="32"/>
        <v>94514</v>
      </c>
      <c r="G65">
        <f t="shared" si="32"/>
        <v>137256</v>
      </c>
      <c r="H65">
        <f t="shared" si="32"/>
        <v>155316</v>
      </c>
      <c r="I65">
        <f t="shared" si="32"/>
        <v>182406</v>
      </c>
      <c r="J65" s="8">
        <f t="shared" si="32"/>
        <v>213108</v>
      </c>
      <c r="K65">
        <f t="shared" si="32"/>
        <v>157122</v>
      </c>
      <c r="L65">
        <f t="shared" si="32"/>
        <v>152908</v>
      </c>
      <c r="M65">
        <f t="shared" si="32"/>
        <v>210700</v>
      </c>
      <c r="N65">
        <f t="shared" si="32"/>
        <v>90300</v>
      </c>
      <c r="O65">
        <f t="shared" si="32"/>
        <v>60802</v>
      </c>
      <c r="P65">
        <f t="shared" si="32"/>
        <v>61404</v>
      </c>
      <c r="Q65">
        <f t="shared" si="32"/>
        <v>72240</v>
      </c>
      <c r="R65">
        <f t="shared" si="32"/>
        <v>90300</v>
      </c>
      <c r="S65">
        <f>S64*S63</f>
        <v>1584464</v>
      </c>
    </row>
    <row r="67" spans="2:19" x14ac:dyDescent="0.45">
      <c r="C67" s="14" t="s">
        <v>40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spans="2:19" x14ac:dyDescent="0.45">
      <c r="C68" s="5">
        <v>45985</v>
      </c>
      <c r="D68" s="5">
        <v>46015</v>
      </c>
      <c r="E68" s="5">
        <v>45682</v>
      </c>
      <c r="F68" s="5">
        <v>45713</v>
      </c>
      <c r="G68" s="5">
        <v>45741</v>
      </c>
      <c r="H68" s="5">
        <v>45772</v>
      </c>
      <c r="I68" s="5">
        <v>45802</v>
      </c>
      <c r="J68" s="5">
        <v>45833</v>
      </c>
      <c r="K68" s="5">
        <v>45863</v>
      </c>
      <c r="L68" s="5">
        <v>45894</v>
      </c>
      <c r="M68" s="5">
        <v>45925</v>
      </c>
      <c r="N68" s="5">
        <v>45955</v>
      </c>
      <c r="O68" s="5">
        <v>45986</v>
      </c>
      <c r="P68" s="5">
        <v>46016</v>
      </c>
      <c r="Q68" s="5" t="s">
        <v>10</v>
      </c>
      <c r="R68" s="5" t="s">
        <v>11</v>
      </c>
    </row>
    <row r="69" spans="2:19" x14ac:dyDescent="0.45">
      <c r="B69" t="s">
        <v>41</v>
      </c>
      <c r="C69">
        <f t="shared" ref="C69:R69" si="33">C55</f>
        <v>18000</v>
      </c>
      <c r="D69">
        <f t="shared" si="33"/>
        <v>20000</v>
      </c>
      <c r="E69">
        <f t="shared" si="33"/>
        <v>22800</v>
      </c>
      <c r="F69">
        <f t="shared" si="33"/>
        <v>31400</v>
      </c>
      <c r="G69">
        <f t="shared" si="33"/>
        <v>45600</v>
      </c>
      <c r="H69">
        <f t="shared" si="33"/>
        <v>51600</v>
      </c>
      <c r="I69">
        <f t="shared" si="33"/>
        <v>60600</v>
      </c>
      <c r="J69">
        <f t="shared" si="33"/>
        <v>70800</v>
      </c>
      <c r="K69">
        <f t="shared" si="33"/>
        <v>52200</v>
      </c>
      <c r="L69">
        <f t="shared" si="33"/>
        <v>50800</v>
      </c>
      <c r="M69">
        <f t="shared" si="33"/>
        <v>70000</v>
      </c>
      <c r="N69">
        <f t="shared" si="33"/>
        <v>30000</v>
      </c>
      <c r="O69">
        <f t="shared" si="33"/>
        <v>20200</v>
      </c>
      <c r="P69">
        <f t="shared" si="33"/>
        <v>20400</v>
      </c>
      <c r="Q69">
        <f t="shared" si="33"/>
        <v>24000</v>
      </c>
      <c r="R69">
        <f t="shared" si="33"/>
        <v>30000</v>
      </c>
    </row>
    <row r="70" spans="2:19" x14ac:dyDescent="0.45">
      <c r="B70" s="3" t="s">
        <v>42</v>
      </c>
    </row>
    <row r="71" spans="2:19" x14ac:dyDescent="0.45">
      <c r="B71" s="6" t="s">
        <v>43</v>
      </c>
      <c r="C71">
        <f t="shared" ref="C71:R71" si="34">0.4*C69</f>
        <v>7200</v>
      </c>
      <c r="D71">
        <f t="shared" si="34"/>
        <v>8000</v>
      </c>
      <c r="E71">
        <f t="shared" si="34"/>
        <v>9120</v>
      </c>
      <c r="F71">
        <f t="shared" si="34"/>
        <v>12560</v>
      </c>
      <c r="G71">
        <f t="shared" si="34"/>
        <v>18240</v>
      </c>
      <c r="H71">
        <f t="shared" si="34"/>
        <v>20640</v>
      </c>
      <c r="I71">
        <f t="shared" si="34"/>
        <v>24240</v>
      </c>
      <c r="J71">
        <f t="shared" si="34"/>
        <v>28320</v>
      </c>
      <c r="K71">
        <f t="shared" si="34"/>
        <v>20880</v>
      </c>
      <c r="L71">
        <f t="shared" si="34"/>
        <v>20320</v>
      </c>
      <c r="M71">
        <f t="shared" si="34"/>
        <v>28000</v>
      </c>
      <c r="N71">
        <f t="shared" si="34"/>
        <v>12000</v>
      </c>
      <c r="O71">
        <f t="shared" si="34"/>
        <v>8080</v>
      </c>
      <c r="P71">
        <f t="shared" si="34"/>
        <v>8160</v>
      </c>
      <c r="Q71">
        <f t="shared" si="34"/>
        <v>9600</v>
      </c>
      <c r="R71">
        <f t="shared" si="34"/>
        <v>12000</v>
      </c>
      <c r="S71">
        <f>SUM(E71:P71)</f>
        <v>210560</v>
      </c>
    </row>
    <row r="72" spans="2:19" x14ac:dyDescent="0.45">
      <c r="B72" s="6" t="s">
        <v>44</v>
      </c>
      <c r="C72">
        <f t="shared" ref="C72:R72" si="35">0.7*C69</f>
        <v>12600</v>
      </c>
      <c r="D72">
        <f t="shared" si="35"/>
        <v>14000</v>
      </c>
      <c r="E72">
        <f t="shared" si="35"/>
        <v>15959.999999999998</v>
      </c>
      <c r="F72">
        <f t="shared" si="35"/>
        <v>21980</v>
      </c>
      <c r="G72">
        <f t="shared" si="35"/>
        <v>31919.999999999996</v>
      </c>
      <c r="H72">
        <f t="shared" si="35"/>
        <v>36120</v>
      </c>
      <c r="I72">
        <f t="shared" si="35"/>
        <v>42420</v>
      </c>
      <c r="J72">
        <f t="shared" si="35"/>
        <v>49560</v>
      </c>
      <c r="K72">
        <f t="shared" si="35"/>
        <v>36540</v>
      </c>
      <c r="L72">
        <f t="shared" si="35"/>
        <v>35560</v>
      </c>
      <c r="M72">
        <f t="shared" si="35"/>
        <v>49000</v>
      </c>
      <c r="N72">
        <f t="shared" si="35"/>
        <v>21000</v>
      </c>
      <c r="O72">
        <f t="shared" si="35"/>
        <v>14140</v>
      </c>
      <c r="P72">
        <f t="shared" si="35"/>
        <v>14280</v>
      </c>
      <c r="Q72">
        <f t="shared" si="35"/>
        <v>16800</v>
      </c>
      <c r="R72">
        <f t="shared" si="35"/>
        <v>21000</v>
      </c>
      <c r="S72">
        <f t="shared" ref="S72:S99" si="36">SUM(E72:P72)</f>
        <v>368480</v>
      </c>
    </row>
    <row r="73" spans="2:19" x14ac:dyDescent="0.45">
      <c r="B73" s="6" t="s">
        <v>45</v>
      </c>
      <c r="C73">
        <f t="shared" ref="C73:R73" si="37">C69*1.2</f>
        <v>21600</v>
      </c>
      <c r="D73">
        <f t="shared" si="37"/>
        <v>24000</v>
      </c>
      <c r="E73">
        <f t="shared" si="37"/>
        <v>27360</v>
      </c>
      <c r="F73">
        <f t="shared" si="37"/>
        <v>37680</v>
      </c>
      <c r="G73">
        <f t="shared" si="37"/>
        <v>54720</v>
      </c>
      <c r="H73">
        <f t="shared" si="37"/>
        <v>61920</v>
      </c>
      <c r="I73">
        <f t="shared" si="37"/>
        <v>72720</v>
      </c>
      <c r="J73">
        <f t="shared" si="37"/>
        <v>84960</v>
      </c>
      <c r="K73">
        <f t="shared" si="37"/>
        <v>62640</v>
      </c>
      <c r="L73">
        <f t="shared" si="37"/>
        <v>60960</v>
      </c>
      <c r="M73">
        <f t="shared" si="37"/>
        <v>84000</v>
      </c>
      <c r="N73">
        <f t="shared" si="37"/>
        <v>36000</v>
      </c>
      <c r="O73">
        <f t="shared" si="37"/>
        <v>24240</v>
      </c>
      <c r="P73">
        <f t="shared" si="37"/>
        <v>24480</v>
      </c>
      <c r="Q73">
        <f t="shared" si="37"/>
        <v>28800</v>
      </c>
      <c r="R73">
        <f t="shared" si="37"/>
        <v>36000</v>
      </c>
      <c r="S73">
        <f t="shared" si="36"/>
        <v>631680</v>
      </c>
    </row>
    <row r="74" spans="2:19" x14ac:dyDescent="0.45">
      <c r="B74" s="6" t="s">
        <v>46</v>
      </c>
      <c r="C74" s="1">
        <f t="shared" ref="C74:R74" si="38">C69*1.4</f>
        <v>25200</v>
      </c>
      <c r="D74" s="1">
        <f t="shared" si="38"/>
        <v>28000</v>
      </c>
      <c r="E74" s="1">
        <f t="shared" si="38"/>
        <v>31919.999999999996</v>
      </c>
      <c r="F74" s="1">
        <f t="shared" si="38"/>
        <v>43960</v>
      </c>
      <c r="G74" s="1">
        <f t="shared" si="38"/>
        <v>63839.999999999993</v>
      </c>
      <c r="H74" s="1">
        <f t="shared" si="38"/>
        <v>72240</v>
      </c>
      <c r="I74" s="1">
        <f t="shared" si="38"/>
        <v>84840</v>
      </c>
      <c r="J74" s="1">
        <f t="shared" si="38"/>
        <v>99120</v>
      </c>
      <c r="K74" s="1">
        <f t="shared" si="38"/>
        <v>73080</v>
      </c>
      <c r="L74" s="1">
        <f t="shared" si="38"/>
        <v>71120</v>
      </c>
      <c r="M74" s="1">
        <f t="shared" si="38"/>
        <v>98000</v>
      </c>
      <c r="N74" s="1">
        <f t="shared" si="38"/>
        <v>42000</v>
      </c>
      <c r="O74" s="1">
        <f t="shared" si="38"/>
        <v>28280</v>
      </c>
      <c r="P74" s="1">
        <f t="shared" si="38"/>
        <v>28560</v>
      </c>
      <c r="Q74" s="1">
        <f t="shared" si="38"/>
        <v>33600</v>
      </c>
      <c r="R74" s="1">
        <f t="shared" si="38"/>
        <v>42000</v>
      </c>
      <c r="S74">
        <f t="shared" si="36"/>
        <v>736960</v>
      </c>
    </row>
    <row r="75" spans="2:19" x14ac:dyDescent="0.45">
      <c r="B75" t="s">
        <v>47</v>
      </c>
      <c r="C75">
        <f>SUM(C71:C74)</f>
        <v>66600</v>
      </c>
      <c r="D75">
        <f t="shared" ref="D75:R75" si="39">SUM(D71:D74)</f>
        <v>74000</v>
      </c>
      <c r="E75">
        <f t="shared" si="39"/>
        <v>84360</v>
      </c>
      <c r="F75">
        <f t="shared" si="39"/>
        <v>116180</v>
      </c>
      <c r="G75">
        <f t="shared" si="39"/>
        <v>168720</v>
      </c>
      <c r="H75">
        <f t="shared" si="39"/>
        <v>190920</v>
      </c>
      <c r="I75">
        <f t="shared" si="39"/>
        <v>224220</v>
      </c>
      <c r="J75" s="8">
        <f t="shared" si="39"/>
        <v>261960</v>
      </c>
      <c r="K75">
        <f t="shared" si="39"/>
        <v>193140</v>
      </c>
      <c r="L75">
        <f t="shared" si="39"/>
        <v>187960</v>
      </c>
      <c r="M75">
        <f t="shared" si="39"/>
        <v>259000</v>
      </c>
      <c r="N75">
        <f t="shared" si="39"/>
        <v>111000</v>
      </c>
      <c r="O75">
        <f t="shared" si="39"/>
        <v>74740</v>
      </c>
      <c r="P75">
        <f t="shared" si="39"/>
        <v>75480</v>
      </c>
      <c r="Q75">
        <f t="shared" si="39"/>
        <v>88800</v>
      </c>
      <c r="R75">
        <f t="shared" si="39"/>
        <v>111000</v>
      </c>
      <c r="S75">
        <f t="shared" si="36"/>
        <v>1947680</v>
      </c>
    </row>
    <row r="76" spans="2:19" x14ac:dyDescent="0.45">
      <c r="B76" s="3" t="s">
        <v>48</v>
      </c>
    </row>
    <row r="77" spans="2:19" x14ac:dyDescent="0.45">
      <c r="B77" s="6" t="s">
        <v>52</v>
      </c>
      <c r="C77">
        <v>18779</v>
      </c>
      <c r="D77">
        <v>18779</v>
      </c>
      <c r="E77">
        <v>18779</v>
      </c>
      <c r="F77">
        <v>18779</v>
      </c>
      <c r="G77">
        <v>18779</v>
      </c>
      <c r="H77">
        <v>18779</v>
      </c>
      <c r="I77">
        <v>18779</v>
      </c>
      <c r="J77">
        <v>18779</v>
      </c>
      <c r="K77">
        <v>18779</v>
      </c>
      <c r="L77">
        <v>18779</v>
      </c>
      <c r="M77">
        <v>18779</v>
      </c>
      <c r="N77">
        <v>18779</v>
      </c>
      <c r="O77">
        <v>18779</v>
      </c>
      <c r="P77">
        <v>18779</v>
      </c>
      <c r="Q77">
        <v>18779</v>
      </c>
      <c r="R77">
        <v>18779</v>
      </c>
      <c r="S77">
        <f t="shared" si="36"/>
        <v>225348</v>
      </c>
    </row>
    <row r="78" spans="2:19" x14ac:dyDescent="0.45">
      <c r="B78" s="6" t="s">
        <v>18</v>
      </c>
      <c r="C78">
        <v>3671</v>
      </c>
      <c r="D78">
        <v>3671</v>
      </c>
      <c r="E78">
        <v>3671</v>
      </c>
      <c r="F78">
        <v>3671</v>
      </c>
      <c r="G78">
        <v>3671</v>
      </c>
      <c r="H78">
        <v>3671</v>
      </c>
      <c r="I78">
        <v>3671</v>
      </c>
      <c r="J78">
        <v>3671</v>
      </c>
      <c r="K78">
        <v>3671</v>
      </c>
      <c r="L78">
        <v>3671</v>
      </c>
      <c r="M78">
        <v>3671</v>
      </c>
      <c r="N78">
        <v>3671</v>
      </c>
      <c r="O78">
        <v>3671</v>
      </c>
      <c r="P78">
        <v>3671</v>
      </c>
      <c r="Q78">
        <v>3671</v>
      </c>
      <c r="R78">
        <v>3671</v>
      </c>
      <c r="S78">
        <f>SUM(E78:P78)</f>
        <v>44052</v>
      </c>
    </row>
    <row r="79" spans="2:19" x14ac:dyDescent="0.45">
      <c r="B79" s="6" t="s">
        <v>49</v>
      </c>
      <c r="C79">
        <v>8679</v>
      </c>
      <c r="D79">
        <v>8679</v>
      </c>
      <c r="E79">
        <v>8679</v>
      </c>
      <c r="F79">
        <v>8679</v>
      </c>
      <c r="G79">
        <v>8679</v>
      </c>
      <c r="H79">
        <v>8679</v>
      </c>
      <c r="I79">
        <v>8679</v>
      </c>
      <c r="J79">
        <v>8679</v>
      </c>
      <c r="K79">
        <v>8679</v>
      </c>
      <c r="L79">
        <v>8679</v>
      </c>
      <c r="M79">
        <v>8679</v>
      </c>
      <c r="N79">
        <v>8679</v>
      </c>
      <c r="O79">
        <v>8679</v>
      </c>
      <c r="P79">
        <v>8679</v>
      </c>
      <c r="Q79">
        <v>8679</v>
      </c>
      <c r="R79">
        <v>8679</v>
      </c>
      <c r="S79">
        <f t="shared" si="36"/>
        <v>104148</v>
      </c>
    </row>
    <row r="80" spans="2:19" x14ac:dyDescent="0.45">
      <c r="B80" s="6" t="s">
        <v>43</v>
      </c>
      <c r="C80" s="1">
        <v>5435</v>
      </c>
      <c r="D80" s="1">
        <v>5435</v>
      </c>
      <c r="E80" s="1">
        <v>5435</v>
      </c>
      <c r="F80" s="1">
        <v>5435</v>
      </c>
      <c r="G80" s="1">
        <v>5435</v>
      </c>
      <c r="H80" s="1">
        <v>5435</v>
      </c>
      <c r="I80" s="1">
        <v>5435</v>
      </c>
      <c r="J80" s="1">
        <v>5435</v>
      </c>
      <c r="K80" s="1">
        <v>5435</v>
      </c>
      <c r="L80" s="1">
        <v>5435</v>
      </c>
      <c r="M80" s="1">
        <v>5435</v>
      </c>
      <c r="N80" s="1">
        <v>5435</v>
      </c>
      <c r="O80" s="1">
        <v>5435</v>
      </c>
      <c r="P80" s="1">
        <v>5435</v>
      </c>
      <c r="Q80" s="1">
        <v>5435</v>
      </c>
      <c r="R80" s="1">
        <v>5435</v>
      </c>
      <c r="S80">
        <f t="shared" si="36"/>
        <v>65220</v>
      </c>
    </row>
    <row r="81" spans="2:19" x14ac:dyDescent="0.45">
      <c r="B81" s="7" t="s">
        <v>50</v>
      </c>
      <c r="C81" s="2">
        <f>SUM(C77:C80)</f>
        <v>36564</v>
      </c>
      <c r="D81" s="2">
        <f t="shared" ref="D81:R81" si="40">SUM(D77:D80)</f>
        <v>36564</v>
      </c>
      <c r="E81" s="2">
        <f t="shared" si="40"/>
        <v>36564</v>
      </c>
      <c r="F81" s="2">
        <f t="shared" si="40"/>
        <v>36564</v>
      </c>
      <c r="G81" s="2">
        <f t="shared" si="40"/>
        <v>36564</v>
      </c>
      <c r="H81" s="2">
        <f t="shared" si="40"/>
        <v>36564</v>
      </c>
      <c r="I81" s="2">
        <f t="shared" si="40"/>
        <v>36564</v>
      </c>
      <c r="J81" s="2">
        <f t="shared" si="40"/>
        <v>36564</v>
      </c>
      <c r="K81" s="2">
        <f t="shared" si="40"/>
        <v>36564</v>
      </c>
      <c r="L81" s="2">
        <f t="shared" si="40"/>
        <v>36564</v>
      </c>
      <c r="M81" s="2">
        <f t="shared" si="40"/>
        <v>36564</v>
      </c>
      <c r="N81" s="2">
        <f t="shared" si="40"/>
        <v>36564</v>
      </c>
      <c r="O81" s="2">
        <f t="shared" si="40"/>
        <v>36564</v>
      </c>
      <c r="P81" s="2">
        <f t="shared" si="40"/>
        <v>36564</v>
      </c>
      <c r="Q81" s="2">
        <f t="shared" si="40"/>
        <v>36564</v>
      </c>
      <c r="R81" s="2">
        <f t="shared" si="40"/>
        <v>36564</v>
      </c>
      <c r="S81" s="8">
        <f t="shared" si="36"/>
        <v>438768</v>
      </c>
    </row>
    <row r="82" spans="2:19" x14ac:dyDescent="0.45">
      <c r="B82" s="7" t="s">
        <v>51</v>
      </c>
      <c r="C82">
        <f t="shared" ref="C82:R82" si="41">C75+C81</f>
        <v>103164</v>
      </c>
      <c r="D82">
        <f t="shared" si="41"/>
        <v>110564</v>
      </c>
      <c r="E82">
        <f t="shared" si="41"/>
        <v>120924</v>
      </c>
      <c r="F82">
        <f t="shared" si="41"/>
        <v>152744</v>
      </c>
      <c r="G82">
        <f t="shared" si="41"/>
        <v>205284</v>
      </c>
      <c r="H82">
        <f t="shared" si="41"/>
        <v>227484</v>
      </c>
      <c r="I82">
        <f t="shared" si="41"/>
        <v>260784</v>
      </c>
      <c r="J82">
        <f t="shared" si="41"/>
        <v>298524</v>
      </c>
      <c r="K82">
        <f t="shared" si="41"/>
        <v>229704</v>
      </c>
      <c r="L82">
        <f t="shared" si="41"/>
        <v>224524</v>
      </c>
      <c r="M82">
        <f t="shared" si="41"/>
        <v>295564</v>
      </c>
      <c r="N82">
        <f t="shared" si="41"/>
        <v>147564</v>
      </c>
      <c r="O82">
        <f t="shared" si="41"/>
        <v>111304</v>
      </c>
      <c r="P82">
        <f t="shared" si="41"/>
        <v>112044</v>
      </c>
      <c r="Q82">
        <f t="shared" si="41"/>
        <v>125364</v>
      </c>
      <c r="R82">
        <f t="shared" si="41"/>
        <v>147564</v>
      </c>
      <c r="S82">
        <f t="shared" si="36"/>
        <v>2386448</v>
      </c>
    </row>
    <row r="84" spans="2:19" x14ac:dyDescent="0.45">
      <c r="C84" s="14" t="s">
        <v>53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spans="2:19" x14ac:dyDescent="0.45">
      <c r="C85" s="5">
        <v>45985</v>
      </c>
      <c r="D85" s="5">
        <v>46015</v>
      </c>
      <c r="E85" s="5">
        <v>45682</v>
      </c>
      <c r="F85" s="5">
        <v>45713</v>
      </c>
      <c r="G85" s="5">
        <v>45741</v>
      </c>
      <c r="H85" s="5">
        <v>45772</v>
      </c>
      <c r="I85" s="5">
        <v>45802</v>
      </c>
      <c r="J85" s="5">
        <v>45833</v>
      </c>
      <c r="K85" s="5">
        <v>45863</v>
      </c>
      <c r="L85" s="5">
        <v>45894</v>
      </c>
      <c r="M85" s="5">
        <v>45925</v>
      </c>
      <c r="N85" s="5">
        <v>45955</v>
      </c>
      <c r="O85" s="5">
        <v>45986</v>
      </c>
      <c r="P85" s="5">
        <v>46016</v>
      </c>
      <c r="Q85" s="5" t="s">
        <v>10</v>
      </c>
      <c r="R85" s="5" t="s">
        <v>11</v>
      </c>
    </row>
    <row r="86" spans="2:19" x14ac:dyDescent="0.45">
      <c r="B86" t="s">
        <v>54</v>
      </c>
      <c r="C86">
        <f t="shared" ref="C86:Q86" si="42">C3</f>
        <v>8800</v>
      </c>
      <c r="D86">
        <f t="shared" si="42"/>
        <v>9720</v>
      </c>
      <c r="E86">
        <f t="shared" si="42"/>
        <v>10540</v>
      </c>
      <c r="F86">
        <f t="shared" si="42"/>
        <v>14280</v>
      </c>
      <c r="G86">
        <f t="shared" si="42"/>
        <v>22200</v>
      </c>
      <c r="H86">
        <f t="shared" si="42"/>
        <v>24900</v>
      </c>
      <c r="I86">
        <f t="shared" si="42"/>
        <v>29280</v>
      </c>
      <c r="J86">
        <f t="shared" si="42"/>
        <v>37260</v>
      </c>
      <c r="K86">
        <f t="shared" si="42"/>
        <v>26240</v>
      </c>
      <c r="L86">
        <f t="shared" si="42"/>
        <v>23480</v>
      </c>
      <c r="M86">
        <f t="shared" si="42"/>
        <v>39000</v>
      </c>
      <c r="N86">
        <f t="shared" si="42"/>
        <v>15980</v>
      </c>
      <c r="O86">
        <f t="shared" si="42"/>
        <v>10080</v>
      </c>
      <c r="P86">
        <f t="shared" si="42"/>
        <v>9840</v>
      </c>
      <c r="Q86">
        <f t="shared" si="42"/>
        <v>11400</v>
      </c>
    </row>
    <row r="87" spans="2:19" x14ac:dyDescent="0.45">
      <c r="B87" t="s">
        <v>55</v>
      </c>
      <c r="C87">
        <f t="shared" ref="C87:Q87" si="43">C5</f>
        <v>3599200</v>
      </c>
      <c r="D87">
        <f t="shared" si="43"/>
        <v>3975480</v>
      </c>
      <c r="E87">
        <f t="shared" si="43"/>
        <v>4310860</v>
      </c>
      <c r="F87">
        <f>F5</f>
        <v>5840520</v>
      </c>
      <c r="G87">
        <f t="shared" si="43"/>
        <v>9079800</v>
      </c>
      <c r="H87">
        <f t="shared" si="43"/>
        <v>10184100</v>
      </c>
      <c r="I87">
        <f t="shared" si="43"/>
        <v>11975520</v>
      </c>
      <c r="J87">
        <f t="shared" si="43"/>
        <v>15239340</v>
      </c>
      <c r="K87">
        <f t="shared" si="43"/>
        <v>10732160</v>
      </c>
      <c r="L87">
        <f t="shared" si="43"/>
        <v>9603320</v>
      </c>
      <c r="M87">
        <f t="shared" si="43"/>
        <v>14040000</v>
      </c>
      <c r="N87">
        <f t="shared" si="43"/>
        <v>6535820</v>
      </c>
      <c r="O87">
        <f t="shared" si="43"/>
        <v>4122720</v>
      </c>
      <c r="P87">
        <f t="shared" si="43"/>
        <v>4024560</v>
      </c>
      <c r="Q87">
        <f t="shared" si="43"/>
        <v>4662600</v>
      </c>
    </row>
    <row r="88" spans="2:19" x14ac:dyDescent="0.45">
      <c r="B88" s="3" t="s">
        <v>42</v>
      </c>
    </row>
    <row r="89" spans="2:19" x14ac:dyDescent="0.45">
      <c r="B89" t="s">
        <v>56</v>
      </c>
      <c r="C89">
        <f t="shared" ref="C89:Q89" si="44">3%*C87</f>
        <v>107976</v>
      </c>
      <c r="D89">
        <f t="shared" si="44"/>
        <v>119264.4</v>
      </c>
      <c r="E89">
        <f t="shared" si="44"/>
        <v>129325.79999999999</v>
      </c>
      <c r="F89">
        <f t="shared" si="44"/>
        <v>175215.6</v>
      </c>
      <c r="G89">
        <f t="shared" si="44"/>
        <v>272394</v>
      </c>
      <c r="H89">
        <f t="shared" si="44"/>
        <v>305523</v>
      </c>
      <c r="I89">
        <f t="shared" si="44"/>
        <v>359265.6</v>
      </c>
      <c r="J89">
        <f t="shared" si="44"/>
        <v>457180.2</v>
      </c>
      <c r="K89">
        <f t="shared" si="44"/>
        <v>321964.79999999999</v>
      </c>
      <c r="L89">
        <f t="shared" si="44"/>
        <v>288099.59999999998</v>
      </c>
      <c r="M89">
        <f t="shared" si="44"/>
        <v>421200</v>
      </c>
      <c r="N89">
        <f t="shared" si="44"/>
        <v>196074.6</v>
      </c>
      <c r="O89">
        <f t="shared" si="44"/>
        <v>123681.59999999999</v>
      </c>
      <c r="P89">
        <f t="shared" si="44"/>
        <v>120736.79999999999</v>
      </c>
      <c r="Q89">
        <f t="shared" si="44"/>
        <v>139878</v>
      </c>
      <c r="S89">
        <f t="shared" si="36"/>
        <v>3170661.6</v>
      </c>
    </row>
    <row r="90" spans="2:19" x14ac:dyDescent="0.45">
      <c r="B90" t="s">
        <v>57</v>
      </c>
      <c r="C90" s="1">
        <f t="shared" ref="C90:Q90" si="45">8*C86</f>
        <v>70400</v>
      </c>
      <c r="D90" s="1">
        <f t="shared" si="45"/>
        <v>77760</v>
      </c>
      <c r="E90" s="1">
        <f t="shared" si="45"/>
        <v>84320</v>
      </c>
      <c r="F90" s="1">
        <f t="shared" si="45"/>
        <v>114240</v>
      </c>
      <c r="G90" s="1">
        <f t="shared" si="45"/>
        <v>177600</v>
      </c>
      <c r="H90" s="1">
        <f t="shared" si="45"/>
        <v>199200</v>
      </c>
      <c r="I90" s="1">
        <f t="shared" si="45"/>
        <v>234240</v>
      </c>
      <c r="J90" s="1">
        <f t="shared" si="45"/>
        <v>298080</v>
      </c>
      <c r="K90" s="1">
        <f t="shared" si="45"/>
        <v>209920</v>
      </c>
      <c r="L90" s="1">
        <f t="shared" si="45"/>
        <v>187840</v>
      </c>
      <c r="M90" s="1">
        <f t="shared" si="45"/>
        <v>312000</v>
      </c>
      <c r="N90" s="1">
        <f t="shared" si="45"/>
        <v>127840</v>
      </c>
      <c r="O90" s="1">
        <f t="shared" si="45"/>
        <v>80640</v>
      </c>
      <c r="P90" s="1">
        <f t="shared" si="45"/>
        <v>78720</v>
      </c>
      <c r="Q90" s="1">
        <f t="shared" si="45"/>
        <v>91200</v>
      </c>
      <c r="R90" s="1"/>
      <c r="S90">
        <f t="shared" si="36"/>
        <v>2104640</v>
      </c>
    </row>
    <row r="91" spans="2:19" x14ac:dyDescent="0.45">
      <c r="B91" t="s">
        <v>47</v>
      </c>
      <c r="C91">
        <f>SUM(C89:C90)</f>
        <v>178376</v>
      </c>
      <c r="D91">
        <f t="shared" ref="D91:Q91" si="46">SUM(D89:D90)</f>
        <v>197024.4</v>
      </c>
      <c r="E91">
        <f t="shared" si="46"/>
        <v>213645.8</v>
      </c>
      <c r="F91">
        <f t="shared" si="46"/>
        <v>289455.59999999998</v>
      </c>
      <c r="G91">
        <f t="shared" si="46"/>
        <v>449994</v>
      </c>
      <c r="H91">
        <f t="shared" si="46"/>
        <v>504723</v>
      </c>
      <c r="I91">
        <f t="shared" si="46"/>
        <v>593505.6</v>
      </c>
      <c r="J91">
        <f t="shared" si="46"/>
        <v>755260.2</v>
      </c>
      <c r="K91" s="8">
        <f t="shared" si="46"/>
        <v>531884.80000000005</v>
      </c>
      <c r="L91">
        <f t="shared" si="46"/>
        <v>475939.6</v>
      </c>
      <c r="M91">
        <f t="shared" si="46"/>
        <v>733200</v>
      </c>
      <c r="N91">
        <f t="shared" si="46"/>
        <v>323914.59999999998</v>
      </c>
      <c r="O91">
        <f t="shared" si="46"/>
        <v>204321.59999999998</v>
      </c>
      <c r="P91">
        <f t="shared" si="46"/>
        <v>199456.8</v>
      </c>
      <c r="Q91">
        <f t="shared" si="46"/>
        <v>231078</v>
      </c>
      <c r="S91">
        <f>SUM(E91:P91)</f>
        <v>5275301.5999999987</v>
      </c>
    </row>
    <row r="92" spans="2:19" x14ac:dyDescent="0.45">
      <c r="B92" s="3" t="s">
        <v>58</v>
      </c>
    </row>
    <row r="93" spans="2:19" x14ac:dyDescent="0.45">
      <c r="B93" t="s">
        <v>15</v>
      </c>
      <c r="C93">
        <v>7500</v>
      </c>
      <c r="D93">
        <v>7500</v>
      </c>
      <c r="E93">
        <v>7500</v>
      </c>
      <c r="F93">
        <v>7500</v>
      </c>
      <c r="G93">
        <v>7500</v>
      </c>
      <c r="H93">
        <v>7500</v>
      </c>
      <c r="I93">
        <v>7500</v>
      </c>
      <c r="J93">
        <v>7500</v>
      </c>
      <c r="K93">
        <v>7500</v>
      </c>
      <c r="L93">
        <v>7500</v>
      </c>
      <c r="M93">
        <v>7500</v>
      </c>
      <c r="N93">
        <v>7500</v>
      </c>
      <c r="O93">
        <v>7500</v>
      </c>
      <c r="P93">
        <v>7500</v>
      </c>
      <c r="Q93">
        <v>7500</v>
      </c>
      <c r="S93">
        <f>SUM(E93:P93)</f>
        <v>90000</v>
      </c>
    </row>
    <row r="94" spans="2:19" x14ac:dyDescent="0.45">
      <c r="B94" t="s">
        <v>16</v>
      </c>
      <c r="C94">
        <v>17000</v>
      </c>
      <c r="D94">
        <v>17000</v>
      </c>
      <c r="E94">
        <v>17000</v>
      </c>
      <c r="F94">
        <v>17000</v>
      </c>
      <c r="G94">
        <v>17000</v>
      </c>
      <c r="H94">
        <v>17000</v>
      </c>
      <c r="I94">
        <v>17000</v>
      </c>
      <c r="J94">
        <v>17000</v>
      </c>
      <c r="K94">
        <v>17000</v>
      </c>
      <c r="L94">
        <v>17000</v>
      </c>
      <c r="M94">
        <v>17000</v>
      </c>
      <c r="N94">
        <v>17000</v>
      </c>
      <c r="O94">
        <v>17000</v>
      </c>
      <c r="P94">
        <v>17000</v>
      </c>
      <c r="Q94">
        <v>17000</v>
      </c>
      <c r="S94">
        <f t="shared" si="36"/>
        <v>204000</v>
      </c>
    </row>
    <row r="95" spans="2:19" x14ac:dyDescent="0.45">
      <c r="B95" t="s">
        <v>17</v>
      </c>
      <c r="C95">
        <v>7000</v>
      </c>
      <c r="D95">
        <v>7000</v>
      </c>
      <c r="E95">
        <v>7000</v>
      </c>
      <c r="F95">
        <v>7000</v>
      </c>
      <c r="G95">
        <v>7000</v>
      </c>
      <c r="H95">
        <v>7000</v>
      </c>
      <c r="I95">
        <v>7000</v>
      </c>
      <c r="J95">
        <v>7000</v>
      </c>
      <c r="K95">
        <v>7000</v>
      </c>
      <c r="L95">
        <v>7000</v>
      </c>
      <c r="M95">
        <v>7000</v>
      </c>
      <c r="N95">
        <v>7000</v>
      </c>
      <c r="O95">
        <v>7000</v>
      </c>
      <c r="P95">
        <v>7000</v>
      </c>
      <c r="Q95">
        <v>7000</v>
      </c>
      <c r="S95">
        <f t="shared" si="36"/>
        <v>84000</v>
      </c>
    </row>
    <row r="96" spans="2:19" x14ac:dyDescent="0.45">
      <c r="B96" t="s">
        <v>18</v>
      </c>
      <c r="C96">
        <v>712</v>
      </c>
      <c r="D96">
        <v>712</v>
      </c>
      <c r="E96">
        <v>712</v>
      </c>
      <c r="F96">
        <v>712</v>
      </c>
      <c r="G96">
        <v>712</v>
      </c>
      <c r="H96">
        <v>712</v>
      </c>
      <c r="I96">
        <v>712</v>
      </c>
      <c r="J96">
        <v>712</v>
      </c>
      <c r="K96">
        <v>712</v>
      </c>
      <c r="L96">
        <v>712</v>
      </c>
      <c r="M96">
        <v>712</v>
      </c>
      <c r="N96">
        <v>712</v>
      </c>
      <c r="O96">
        <v>712</v>
      </c>
      <c r="P96">
        <v>712</v>
      </c>
      <c r="Q96">
        <v>712</v>
      </c>
      <c r="S96">
        <f>SUM(E96:P96)</f>
        <v>8544</v>
      </c>
    </row>
    <row r="97" spans="2:19" x14ac:dyDescent="0.45">
      <c r="B97" t="s">
        <v>59</v>
      </c>
      <c r="C97" s="1">
        <v>1000</v>
      </c>
      <c r="D97" s="1">
        <v>1000</v>
      </c>
      <c r="E97" s="1">
        <v>1000</v>
      </c>
      <c r="F97" s="1">
        <v>1000</v>
      </c>
      <c r="G97" s="1">
        <v>1000</v>
      </c>
      <c r="H97" s="1">
        <v>1000</v>
      </c>
      <c r="I97" s="1">
        <v>1000</v>
      </c>
      <c r="J97" s="1">
        <v>1000</v>
      </c>
      <c r="K97" s="1">
        <v>1000</v>
      </c>
      <c r="L97" s="1">
        <v>1000</v>
      </c>
      <c r="M97" s="1">
        <v>1000</v>
      </c>
      <c r="N97" s="1">
        <v>1000</v>
      </c>
      <c r="O97" s="1">
        <v>1000</v>
      </c>
      <c r="P97" s="1">
        <v>1000</v>
      </c>
      <c r="Q97" s="1">
        <v>1000</v>
      </c>
      <c r="S97">
        <f t="shared" si="36"/>
        <v>12000</v>
      </c>
    </row>
    <row r="98" spans="2:19" x14ac:dyDescent="0.45">
      <c r="B98" t="s">
        <v>50</v>
      </c>
      <c r="C98" s="2">
        <f>SUM(C93:C97)</f>
        <v>33212</v>
      </c>
      <c r="D98" s="2">
        <f t="shared" ref="D98:Q98" si="47">SUM(D93:D97)</f>
        <v>33212</v>
      </c>
      <c r="E98" s="2">
        <f t="shared" si="47"/>
        <v>33212</v>
      </c>
      <c r="F98" s="2">
        <f t="shared" si="47"/>
        <v>33212</v>
      </c>
      <c r="G98" s="2">
        <f t="shared" si="47"/>
        <v>33212</v>
      </c>
      <c r="H98" s="2">
        <f t="shared" si="47"/>
        <v>33212</v>
      </c>
      <c r="I98" s="2">
        <f t="shared" si="47"/>
        <v>33212</v>
      </c>
      <c r="J98" s="2">
        <f t="shared" si="47"/>
        <v>33212</v>
      </c>
      <c r="K98" s="2">
        <f t="shared" si="47"/>
        <v>33212</v>
      </c>
      <c r="L98" s="13">
        <f t="shared" si="47"/>
        <v>33212</v>
      </c>
      <c r="M98" s="2">
        <f t="shared" si="47"/>
        <v>33212</v>
      </c>
      <c r="N98" s="2">
        <f t="shared" si="47"/>
        <v>33212</v>
      </c>
      <c r="O98" s="2">
        <f t="shared" si="47"/>
        <v>33212</v>
      </c>
      <c r="P98" s="2">
        <f t="shared" si="47"/>
        <v>33212</v>
      </c>
      <c r="Q98" s="2">
        <f t="shared" si="47"/>
        <v>33212</v>
      </c>
      <c r="S98">
        <f t="shared" si="36"/>
        <v>398544</v>
      </c>
    </row>
    <row r="99" spans="2:19" x14ac:dyDescent="0.45">
      <c r="B99" t="s">
        <v>60</v>
      </c>
      <c r="C99">
        <f>C98+C91</f>
        <v>211588</v>
      </c>
      <c r="D99">
        <f t="shared" ref="D99:Q99" si="48">D98+D91</f>
        <v>230236.4</v>
      </c>
      <c r="E99">
        <f t="shared" si="48"/>
        <v>246857.8</v>
      </c>
      <c r="F99">
        <f t="shared" si="48"/>
        <v>322667.59999999998</v>
      </c>
      <c r="G99">
        <f t="shared" si="48"/>
        <v>483206</v>
      </c>
      <c r="H99">
        <f t="shared" si="48"/>
        <v>537935</v>
      </c>
      <c r="I99">
        <f t="shared" si="48"/>
        <v>626717.6</v>
      </c>
      <c r="J99">
        <f t="shared" si="48"/>
        <v>788472.2</v>
      </c>
      <c r="K99">
        <f t="shared" si="48"/>
        <v>565096.80000000005</v>
      </c>
      <c r="L99">
        <f t="shared" si="48"/>
        <v>509151.6</v>
      </c>
      <c r="M99">
        <f t="shared" si="48"/>
        <v>766412</v>
      </c>
      <c r="N99">
        <f t="shared" si="48"/>
        <v>357126.6</v>
      </c>
      <c r="O99">
        <f t="shared" si="48"/>
        <v>237533.59999999998</v>
      </c>
      <c r="P99">
        <f t="shared" si="48"/>
        <v>232668.79999999999</v>
      </c>
      <c r="Q99">
        <f t="shared" si="48"/>
        <v>264290</v>
      </c>
      <c r="S99">
        <f t="shared" si="36"/>
        <v>5673845.5999999987</v>
      </c>
    </row>
    <row r="102" spans="2:19" x14ac:dyDescent="0.45">
      <c r="D102" s="3" t="s">
        <v>69</v>
      </c>
      <c r="E102" s="3" t="s">
        <v>70</v>
      </c>
      <c r="F102" s="3" t="s">
        <v>71</v>
      </c>
      <c r="G102" s="3" t="s">
        <v>72</v>
      </c>
    </row>
    <row r="103" spans="2:19" x14ac:dyDescent="0.45">
      <c r="C103" s="3" t="s">
        <v>67</v>
      </c>
      <c r="D103">
        <f>0.5*46</f>
        <v>23</v>
      </c>
      <c r="E103">
        <f>2*1.2</f>
        <v>2.4</v>
      </c>
      <c r="F103">
        <v>156</v>
      </c>
      <c r="G103">
        <f>F103+E103+D103</f>
        <v>181.4</v>
      </c>
    </row>
    <row r="105" spans="2:19" x14ac:dyDescent="0.45">
      <c r="D105" s="3" t="s">
        <v>73</v>
      </c>
      <c r="E105" s="3" t="s">
        <v>74</v>
      </c>
      <c r="F105" s="3"/>
      <c r="G105" s="3" t="s">
        <v>75</v>
      </c>
    </row>
    <row r="106" spans="2:19" x14ac:dyDescent="0.45">
      <c r="C106" s="3" t="s">
        <v>68</v>
      </c>
      <c r="D106">
        <f>2*20</f>
        <v>40</v>
      </c>
      <c r="E106">
        <f>0.43*14</f>
        <v>6.02</v>
      </c>
      <c r="G106">
        <f>E106+D106</f>
        <v>46.019999999999996</v>
      </c>
    </row>
    <row r="108" spans="2:19" x14ac:dyDescent="0.45">
      <c r="D108" s="3" t="s">
        <v>20</v>
      </c>
      <c r="E108" s="3" t="s">
        <v>77</v>
      </c>
      <c r="F108" s="3"/>
      <c r="G108" s="3" t="s">
        <v>76</v>
      </c>
    </row>
    <row r="109" spans="2:19" x14ac:dyDescent="0.45">
      <c r="D109">
        <f>SUM(0.4,0.7,1.2,1.4)*2</f>
        <v>7.3999999999999995</v>
      </c>
      <c r="E109">
        <v>1.6670516717325228</v>
      </c>
      <c r="G109">
        <f>E109+D109</f>
        <v>9.0670516717325214</v>
      </c>
    </row>
    <row r="111" spans="2:19" x14ac:dyDescent="0.45">
      <c r="C111" t="s">
        <v>21</v>
      </c>
      <c r="D111">
        <f>SUM(E81:P81)</f>
        <v>438768</v>
      </c>
      <c r="F111" s="3" t="s">
        <v>88</v>
      </c>
      <c r="G111" s="3">
        <f>G109+G106+G103</f>
        <v>236.48705167173253</v>
      </c>
    </row>
    <row r="112" spans="2:19" x14ac:dyDescent="0.45">
      <c r="C112" t="s">
        <v>78</v>
      </c>
      <c r="D112">
        <f>SUM(E13:P13)</f>
        <v>263200</v>
      </c>
    </row>
    <row r="113" spans="3:7" x14ac:dyDescent="0.45">
      <c r="C113" t="s">
        <v>79</v>
      </c>
      <c r="D113">
        <f>D111/D112</f>
        <v>1.6670516717325228</v>
      </c>
    </row>
    <row r="116" spans="3:7" x14ac:dyDescent="0.45">
      <c r="D116" s="15" t="s">
        <v>81</v>
      </c>
      <c r="E116" s="15"/>
      <c r="F116" s="15"/>
      <c r="G116" s="15"/>
    </row>
    <row r="117" spans="3:7" x14ac:dyDescent="0.45">
      <c r="D117" s="15" t="s">
        <v>82</v>
      </c>
      <c r="E117" s="15"/>
      <c r="F117" s="15"/>
      <c r="G117" s="15"/>
    </row>
    <row r="118" spans="3:7" x14ac:dyDescent="0.45">
      <c r="D118" s="15" t="s">
        <v>83</v>
      </c>
      <c r="E118" s="15"/>
      <c r="F118" s="15"/>
      <c r="G118" s="15"/>
    </row>
    <row r="120" spans="3:7" x14ac:dyDescent="0.45">
      <c r="D120" t="s">
        <v>9</v>
      </c>
      <c r="G120">
        <f>SUM(E5:P5)</f>
        <v>105688720</v>
      </c>
    </row>
    <row r="121" spans="3:7" x14ac:dyDescent="0.45">
      <c r="D121" t="s">
        <v>84</v>
      </c>
      <c r="G121" s="1">
        <f>SUM(E3:P3)*G111</f>
        <v>62215013.553799391</v>
      </c>
    </row>
    <row r="122" spans="3:7" x14ac:dyDescent="0.45">
      <c r="D122" t="s">
        <v>85</v>
      </c>
      <c r="G122">
        <f>G120-G121</f>
        <v>43473706.446200609</v>
      </c>
    </row>
    <row r="123" spans="3:7" x14ac:dyDescent="0.45">
      <c r="D123" t="s">
        <v>86</v>
      </c>
      <c r="G123" s="1">
        <f>SUM(E99:P99)</f>
        <v>5673845.5999999987</v>
      </c>
    </row>
    <row r="124" spans="3:7" x14ac:dyDescent="0.45">
      <c r="D124" t="s">
        <v>87</v>
      </c>
      <c r="G124">
        <f>G122-G123</f>
        <v>37799860.846200608</v>
      </c>
    </row>
    <row r="125" spans="3:7" x14ac:dyDescent="0.45">
      <c r="D125" t="s">
        <v>136</v>
      </c>
      <c r="G125" s="1">
        <f>'Cash Budget'!P56</f>
        <v>-16000.000000000002</v>
      </c>
    </row>
    <row r="126" spans="3:7" x14ac:dyDescent="0.45">
      <c r="D126" t="s">
        <v>138</v>
      </c>
      <c r="G126">
        <f>G124+G125</f>
        <v>37783860.846200608</v>
      </c>
    </row>
  </sheetData>
  <mergeCells count="12">
    <mergeCell ref="D117:G117"/>
    <mergeCell ref="D118:G118"/>
    <mergeCell ref="C27:R27"/>
    <mergeCell ref="C39:R39"/>
    <mergeCell ref="C51:R51"/>
    <mergeCell ref="C59:R59"/>
    <mergeCell ref="C67:R67"/>
    <mergeCell ref="C1:R1"/>
    <mergeCell ref="C7:R7"/>
    <mergeCell ref="C15:R15"/>
    <mergeCell ref="C84:R84"/>
    <mergeCell ref="D116:G116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074D-3732-4825-9899-BC5ECC544AE9}">
  <dimension ref="A1:Q58"/>
  <sheetViews>
    <sheetView zoomScale="57" workbookViewId="0">
      <selection activeCell="C22" sqref="C22"/>
    </sheetView>
  </sheetViews>
  <sheetFormatPr defaultRowHeight="14.25" x14ac:dyDescent="0.45"/>
  <cols>
    <col min="1" max="1" width="18.3984375" bestFit="1" customWidth="1"/>
    <col min="7" max="10" width="13.1328125" bestFit="1" customWidth="1"/>
    <col min="11" max="11" width="19.19921875" customWidth="1"/>
    <col min="12" max="12" width="13.1328125" bestFit="1" customWidth="1"/>
    <col min="13" max="13" width="18.86328125" customWidth="1"/>
    <col min="14" max="15" width="13.1328125" bestFit="1" customWidth="1"/>
    <col min="16" max="16" width="15.59765625" customWidth="1"/>
    <col min="17" max="17" width="12" bestFit="1" customWidth="1"/>
  </cols>
  <sheetData>
    <row r="1" spans="1:17" x14ac:dyDescent="0.45">
      <c r="B1" s="14" t="s">
        <v>61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45">
      <c r="B2" s="5">
        <v>45985</v>
      </c>
      <c r="C2" s="5">
        <v>46015</v>
      </c>
      <c r="D2" s="5">
        <v>45682</v>
      </c>
      <c r="E2" s="5">
        <v>45713</v>
      </c>
      <c r="F2" s="5">
        <v>45741</v>
      </c>
      <c r="G2" s="5">
        <v>45772</v>
      </c>
      <c r="H2" s="5">
        <v>45802</v>
      </c>
      <c r="I2" s="5">
        <v>45833</v>
      </c>
      <c r="J2" s="5">
        <v>45863</v>
      </c>
      <c r="K2" s="5">
        <v>45894</v>
      </c>
      <c r="L2" s="5">
        <v>45925</v>
      </c>
      <c r="M2" s="5">
        <v>45955</v>
      </c>
      <c r="N2" s="5">
        <v>45986</v>
      </c>
      <c r="O2" s="5">
        <v>46016</v>
      </c>
      <c r="P2" s="5" t="s">
        <v>10</v>
      </c>
      <c r="Q2" s="5" t="s">
        <v>11</v>
      </c>
    </row>
    <row r="3" spans="1:17" x14ac:dyDescent="0.45">
      <c r="A3" t="s">
        <v>9</v>
      </c>
      <c r="B3">
        <f>'Operating Budgets'!C87</f>
        <v>3599200</v>
      </c>
      <c r="C3">
        <f>'Operating Budgets'!D87</f>
        <v>3975480</v>
      </c>
      <c r="D3">
        <f>'Operating Budgets'!E87</f>
        <v>4310860</v>
      </c>
      <c r="E3">
        <f>'Operating Budgets'!F87</f>
        <v>5840520</v>
      </c>
      <c r="F3">
        <f>'Operating Budgets'!G87</f>
        <v>9079800</v>
      </c>
      <c r="G3">
        <f>'Operating Budgets'!H87</f>
        <v>10184100</v>
      </c>
      <c r="H3">
        <f>'Operating Budgets'!I87</f>
        <v>11975520</v>
      </c>
      <c r="I3">
        <f>'Operating Budgets'!J87</f>
        <v>15239340</v>
      </c>
      <c r="J3">
        <f>'Operating Budgets'!K87</f>
        <v>10732160</v>
      </c>
      <c r="K3">
        <f>'Operating Budgets'!L87</f>
        <v>9603320</v>
      </c>
      <c r="L3">
        <f>'Operating Budgets'!M87</f>
        <v>14040000</v>
      </c>
      <c r="M3">
        <f>'Operating Budgets'!N87</f>
        <v>6535820</v>
      </c>
      <c r="N3">
        <f>'Operating Budgets'!O87</f>
        <v>4122720</v>
      </c>
      <c r="O3">
        <f>'Operating Budgets'!P87</f>
        <v>4024560</v>
      </c>
      <c r="P3">
        <f>'Operating Budgets'!Q87</f>
        <v>4662600</v>
      </c>
    </row>
    <row r="4" spans="1:17" x14ac:dyDescent="0.45">
      <c r="A4" s="5">
        <v>45985</v>
      </c>
      <c r="B4">
        <f>30%*B3</f>
        <v>1079760</v>
      </c>
      <c r="C4">
        <f>40%*B3</f>
        <v>1439680</v>
      </c>
      <c r="D4">
        <f>30%*B3</f>
        <v>1079760</v>
      </c>
    </row>
    <row r="5" spans="1:17" x14ac:dyDescent="0.45">
      <c r="A5" s="5">
        <v>46015</v>
      </c>
      <c r="C5">
        <f>30%*C3</f>
        <v>1192644</v>
      </c>
      <c r="D5">
        <f>40%*C3</f>
        <v>1590192</v>
      </c>
      <c r="E5">
        <f>30%*C3</f>
        <v>1192644</v>
      </c>
    </row>
    <row r="6" spans="1:17" x14ac:dyDescent="0.45">
      <c r="A6" s="5">
        <v>45682</v>
      </c>
      <c r="D6">
        <f>30%*D3</f>
        <v>1293258</v>
      </c>
      <c r="E6">
        <f>D3*40%</f>
        <v>1724344</v>
      </c>
      <c r="F6">
        <f>D3*30%</f>
        <v>1293258</v>
      </c>
    </row>
    <row r="7" spans="1:17" x14ac:dyDescent="0.45">
      <c r="A7" s="5">
        <v>45713</v>
      </c>
      <c r="E7">
        <f>E3*30%</f>
        <v>1752156</v>
      </c>
      <c r="F7">
        <f>E3*40%</f>
        <v>2336208</v>
      </c>
      <c r="G7">
        <f>E3*30%</f>
        <v>1752156</v>
      </c>
    </row>
    <row r="8" spans="1:17" x14ac:dyDescent="0.45">
      <c r="A8" s="5">
        <v>45741</v>
      </c>
      <c r="F8">
        <f>F3*30%</f>
        <v>2723940</v>
      </c>
      <c r="G8">
        <f>F3*40%</f>
        <v>3631920</v>
      </c>
      <c r="H8">
        <f>F3*30%</f>
        <v>2723940</v>
      </c>
    </row>
    <row r="9" spans="1:17" x14ac:dyDescent="0.45">
      <c r="A9" s="5">
        <v>45772</v>
      </c>
      <c r="G9">
        <f>G3*30%</f>
        <v>3055230</v>
      </c>
      <c r="H9">
        <f>G3*40%</f>
        <v>4073640</v>
      </c>
      <c r="I9">
        <f>G3*30%</f>
        <v>3055230</v>
      </c>
    </row>
    <row r="10" spans="1:17" x14ac:dyDescent="0.45">
      <c r="A10" s="5">
        <v>45802</v>
      </c>
      <c r="H10">
        <f>H3*30%</f>
        <v>3592656</v>
      </c>
      <c r="I10">
        <f>H3*40%</f>
        <v>4790208</v>
      </c>
      <c r="J10">
        <f>H3*30%</f>
        <v>3592656</v>
      </c>
    </row>
    <row r="11" spans="1:17" x14ac:dyDescent="0.45">
      <c r="A11" s="5">
        <v>45833</v>
      </c>
      <c r="I11">
        <f>I3*30%</f>
        <v>4571802</v>
      </c>
      <c r="J11">
        <f>I3*40%</f>
        <v>6095736</v>
      </c>
      <c r="K11">
        <f>I3*30%</f>
        <v>4571802</v>
      </c>
    </row>
    <row r="12" spans="1:17" x14ac:dyDescent="0.45">
      <c r="A12" s="5">
        <v>45863</v>
      </c>
      <c r="J12">
        <f>J3*30%</f>
        <v>3219648</v>
      </c>
      <c r="K12">
        <f>J3*40%</f>
        <v>4292864</v>
      </c>
      <c r="L12">
        <f>J3*30%</f>
        <v>3219648</v>
      </c>
    </row>
    <row r="13" spans="1:17" x14ac:dyDescent="0.45">
      <c r="A13" s="5">
        <v>45894</v>
      </c>
      <c r="K13">
        <f>K3*30%</f>
        <v>2880996</v>
      </c>
      <c r="L13">
        <f>K3*40%</f>
        <v>3841328</v>
      </c>
      <c r="M13">
        <f>K3*30%</f>
        <v>2880996</v>
      </c>
    </row>
    <row r="14" spans="1:17" x14ac:dyDescent="0.45">
      <c r="A14" s="5">
        <v>45925</v>
      </c>
      <c r="L14">
        <f>L3*30%</f>
        <v>4212000</v>
      </c>
      <c r="M14">
        <f>L3*40%</f>
        <v>5616000</v>
      </c>
      <c r="N14">
        <f>L3*30%</f>
        <v>4212000</v>
      </c>
    </row>
    <row r="15" spans="1:17" x14ac:dyDescent="0.45">
      <c r="A15" s="5">
        <v>45955</v>
      </c>
      <c r="M15">
        <f>M3*30%</f>
        <v>1960746</v>
      </c>
      <c r="N15">
        <f>M3*40%</f>
        <v>2614328</v>
      </c>
      <c r="O15">
        <f>M3*30%</f>
        <v>1960746</v>
      </c>
    </row>
    <row r="16" spans="1:17" x14ac:dyDescent="0.45">
      <c r="A16" s="5">
        <v>45986</v>
      </c>
      <c r="N16">
        <f>N3*30%</f>
        <v>1236816</v>
      </c>
      <c r="O16">
        <f>N3*40%</f>
        <v>1649088</v>
      </c>
      <c r="P16">
        <f>N3*30%</f>
        <v>1236816</v>
      </c>
    </row>
    <row r="17" spans="1:17" x14ac:dyDescent="0.45">
      <c r="A17" s="5">
        <v>46016</v>
      </c>
      <c r="O17">
        <f>O3*30%</f>
        <v>1207368</v>
      </c>
      <c r="P17">
        <f>O3*40%</f>
        <v>1609824</v>
      </c>
      <c r="Q17">
        <f>O3*30%</f>
        <v>1207368</v>
      </c>
    </row>
    <row r="18" spans="1:17" x14ac:dyDescent="0.45">
      <c r="A18" s="5" t="s">
        <v>62</v>
      </c>
      <c r="B18">
        <f t="shared" ref="B18:O18" si="0">SUM(B4:B17)</f>
        <v>1079760</v>
      </c>
      <c r="C18">
        <f t="shared" si="0"/>
        <v>2632324</v>
      </c>
      <c r="D18">
        <f t="shared" si="0"/>
        <v>3963210</v>
      </c>
      <c r="E18">
        <f t="shared" si="0"/>
        <v>4669144</v>
      </c>
      <c r="F18">
        <f t="shared" si="0"/>
        <v>6353406</v>
      </c>
      <c r="G18">
        <f t="shared" si="0"/>
        <v>8439306</v>
      </c>
      <c r="H18">
        <f t="shared" si="0"/>
        <v>10390236</v>
      </c>
      <c r="I18">
        <f t="shared" si="0"/>
        <v>12417240</v>
      </c>
      <c r="J18">
        <f t="shared" si="0"/>
        <v>12908040</v>
      </c>
      <c r="K18">
        <f t="shared" si="0"/>
        <v>11745662</v>
      </c>
      <c r="L18">
        <f t="shared" si="0"/>
        <v>11272976</v>
      </c>
      <c r="M18">
        <f t="shared" si="0"/>
        <v>10457742</v>
      </c>
      <c r="N18">
        <f t="shared" si="0"/>
        <v>8063144</v>
      </c>
      <c r="O18">
        <f t="shared" si="0"/>
        <v>4817202</v>
      </c>
      <c r="P18">
        <f t="shared" ref="P18:Q18" si="1">SUM(P4:P17)</f>
        <v>2846640</v>
      </c>
      <c r="Q18">
        <f t="shared" si="1"/>
        <v>1207368</v>
      </c>
    </row>
    <row r="19" spans="1:17" x14ac:dyDescent="0.45">
      <c r="A19" s="5"/>
    </row>
    <row r="20" spans="1:17" x14ac:dyDescent="0.45">
      <c r="B20" s="14" t="s">
        <v>63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x14ac:dyDescent="0.45">
      <c r="B21" s="5">
        <v>45985</v>
      </c>
      <c r="C21" s="5">
        <v>46015</v>
      </c>
      <c r="D21" s="5">
        <v>45682</v>
      </c>
      <c r="E21" s="5">
        <v>45713</v>
      </c>
      <c r="F21" s="5">
        <v>45741</v>
      </c>
      <c r="G21" s="5">
        <v>45772</v>
      </c>
      <c r="H21" s="5">
        <v>45802</v>
      </c>
      <c r="I21" s="5">
        <v>45833</v>
      </c>
      <c r="J21" s="5">
        <v>45863</v>
      </c>
      <c r="K21" s="5">
        <v>45894</v>
      </c>
      <c r="L21" s="5">
        <v>45925</v>
      </c>
      <c r="M21" s="5">
        <v>45955</v>
      </c>
      <c r="N21" s="5">
        <v>45986</v>
      </c>
      <c r="O21" s="5">
        <v>46016</v>
      </c>
      <c r="P21" s="5" t="s">
        <v>10</v>
      </c>
      <c r="Q21" s="5" t="s">
        <v>11</v>
      </c>
    </row>
    <row r="22" spans="1:17" x14ac:dyDescent="0.45">
      <c r="A22" t="s">
        <v>64</v>
      </c>
      <c r="C22">
        <f>'Operating Budgets'!D49+'Operating Budgets'!D37+'Operating Budgets'!D25</f>
        <v>1821467.6</v>
      </c>
      <c r="D22">
        <f>'Operating Budgets'!E49+'Operating Budgets'!E37+'Operating Budgets'!E25</f>
        <v>2090896.2</v>
      </c>
      <c r="E22">
        <f>'Operating Budgets'!F49+'Operating Budgets'!F37+'Operating Budgets'!F25</f>
        <v>2885851.4</v>
      </c>
      <c r="F22">
        <f>'Operating Budgets'!G49+'Operating Budgets'!G37+'Operating Budgets'!G25</f>
        <v>4151922</v>
      </c>
      <c r="G22">
        <f>'Operating Budgets'!H49+'Operating Budgets'!H37+'Operating Budgets'!H25</f>
        <v>4704123</v>
      </c>
      <c r="H22">
        <f>'Operating Budgets'!I49+'Operating Budgets'!I37+'Operating Budgets'!I25</f>
        <v>5523623.4000000004</v>
      </c>
      <c r="I22">
        <f>'Operating Budgets'!J49+'Operating Budgets'!J37+'Operating Budgets'!J25</f>
        <v>6371953.7999999998</v>
      </c>
      <c r="J22">
        <f>'Operating Budgets'!K49+'Operating Budgets'!K37+'Operating Budgets'!K25</f>
        <v>4730806.2</v>
      </c>
      <c r="K22">
        <f>'Operating Budgets'!L49+'Operating Budgets'!L37+'Operating Budgets'!L25</f>
        <v>4658766.4000000004</v>
      </c>
      <c r="L22">
        <f>'Operating Budgets'!M49+'Operating Budgets'!M37+'Operating Budgets'!M25</f>
        <v>6242320</v>
      </c>
      <c r="M22">
        <f>'Operating Budgets'!N49+'Operating Budgets'!N37+'Operating Budgets'!N25</f>
        <v>2694863.4</v>
      </c>
      <c r="N22">
        <f>'Operating Budgets'!O49+'Operating Budgets'!O37+'Operating Budgets'!O25</f>
        <v>1832673.4</v>
      </c>
      <c r="O22">
        <f>'Operating Budgets'!P49+'Operating Budgets'!P37+'Operating Budgets'!P25</f>
        <v>1859881.2</v>
      </c>
      <c r="P22">
        <f>'Operating Budgets'!Q49+'Operating Budgets'!Q37+'Operating Budgets'!Q25</f>
        <v>2192802</v>
      </c>
    </row>
    <row r="24" spans="1:17" x14ac:dyDescent="0.45">
      <c r="A24" s="5">
        <v>46015</v>
      </c>
      <c r="C24">
        <f>50%*C22</f>
        <v>910733.8</v>
      </c>
      <c r="D24">
        <f>C24</f>
        <v>910733.8</v>
      </c>
    </row>
    <row r="25" spans="1:17" x14ac:dyDescent="0.45">
      <c r="A25" s="5">
        <v>45682</v>
      </c>
      <c r="D25">
        <f>50%*D22</f>
        <v>1045448.1</v>
      </c>
      <c r="E25">
        <f>D25</f>
        <v>1045448.1</v>
      </c>
    </row>
    <row r="26" spans="1:17" x14ac:dyDescent="0.45">
      <c r="A26" s="5">
        <v>45713</v>
      </c>
      <c r="E26">
        <f>50%*E22</f>
        <v>1442925.7</v>
      </c>
      <c r="F26">
        <f>E26</f>
        <v>1442925.7</v>
      </c>
    </row>
    <row r="27" spans="1:17" x14ac:dyDescent="0.45">
      <c r="A27" s="5">
        <v>45741</v>
      </c>
      <c r="F27">
        <f>50%*F22</f>
        <v>2075961</v>
      </c>
      <c r="G27">
        <f>F27</f>
        <v>2075961</v>
      </c>
    </row>
    <row r="28" spans="1:17" x14ac:dyDescent="0.45">
      <c r="A28" s="5">
        <v>45772</v>
      </c>
      <c r="G28">
        <f>50%*G22</f>
        <v>2352061.5</v>
      </c>
      <c r="H28">
        <f>G28</f>
        <v>2352061.5</v>
      </c>
    </row>
    <row r="29" spans="1:17" x14ac:dyDescent="0.45">
      <c r="A29" s="5">
        <v>45802</v>
      </c>
      <c r="H29">
        <f>50%*H22</f>
        <v>2761811.7</v>
      </c>
      <c r="I29">
        <f>H29</f>
        <v>2761811.7</v>
      </c>
    </row>
    <row r="30" spans="1:17" x14ac:dyDescent="0.45">
      <c r="A30" s="5">
        <v>45833</v>
      </c>
      <c r="I30">
        <f>50%*I22</f>
        <v>3185976.9</v>
      </c>
      <c r="J30">
        <f>I30</f>
        <v>3185976.9</v>
      </c>
    </row>
    <row r="31" spans="1:17" x14ac:dyDescent="0.45">
      <c r="A31" s="5">
        <v>45863</v>
      </c>
      <c r="J31">
        <f>50%*J22</f>
        <v>2365403.1</v>
      </c>
      <c r="K31">
        <f>J31</f>
        <v>2365403.1</v>
      </c>
    </row>
    <row r="32" spans="1:17" x14ac:dyDescent="0.45">
      <c r="A32" s="5">
        <v>45894</v>
      </c>
      <c r="K32">
        <f>50%*K22</f>
        <v>2329383.2000000002</v>
      </c>
      <c r="L32">
        <f>K32</f>
        <v>2329383.2000000002</v>
      </c>
    </row>
    <row r="33" spans="1:17" x14ac:dyDescent="0.45">
      <c r="A33" s="5">
        <v>45925</v>
      </c>
      <c r="L33">
        <f>50%*L22</f>
        <v>3121160</v>
      </c>
      <c r="M33">
        <f>L33</f>
        <v>3121160</v>
      </c>
    </row>
    <row r="34" spans="1:17" x14ac:dyDescent="0.45">
      <c r="A34" s="5">
        <v>45955</v>
      </c>
      <c r="M34">
        <f>50%*M22</f>
        <v>1347431.7</v>
      </c>
      <c r="N34">
        <f>M34</f>
        <v>1347431.7</v>
      </c>
    </row>
    <row r="35" spans="1:17" x14ac:dyDescent="0.45">
      <c r="A35" s="5">
        <v>45986</v>
      </c>
      <c r="N35">
        <f>50%*N22</f>
        <v>916336.7</v>
      </c>
      <c r="O35">
        <f>N35</f>
        <v>916336.7</v>
      </c>
    </row>
    <row r="36" spans="1:17" x14ac:dyDescent="0.45">
      <c r="A36" s="5">
        <v>46016</v>
      </c>
      <c r="O36">
        <f>O22*50%</f>
        <v>929940.6</v>
      </c>
      <c r="P36">
        <f>O36</f>
        <v>929940.6</v>
      </c>
    </row>
    <row r="37" spans="1:17" x14ac:dyDescent="0.45">
      <c r="A37" t="s">
        <v>65</v>
      </c>
      <c r="C37">
        <f t="shared" ref="C37:P37" si="2">SUM(C24:C36)</f>
        <v>910733.8</v>
      </c>
      <c r="D37">
        <f t="shared" si="2"/>
        <v>1956181.9</v>
      </c>
      <c r="E37">
        <f t="shared" si="2"/>
        <v>2488373.7999999998</v>
      </c>
      <c r="F37">
        <f t="shared" si="2"/>
        <v>3518886.7</v>
      </c>
      <c r="G37">
        <f t="shared" si="2"/>
        <v>4428022.5</v>
      </c>
      <c r="H37">
        <f t="shared" si="2"/>
        <v>5113873.2</v>
      </c>
      <c r="I37">
        <f t="shared" si="2"/>
        <v>5947788.5999999996</v>
      </c>
      <c r="J37">
        <f t="shared" si="2"/>
        <v>5551380</v>
      </c>
      <c r="K37">
        <f t="shared" si="2"/>
        <v>4694786.3000000007</v>
      </c>
      <c r="L37">
        <f t="shared" si="2"/>
        <v>5450543.2000000002</v>
      </c>
      <c r="M37">
        <f t="shared" si="2"/>
        <v>4468591.7</v>
      </c>
      <c r="N37">
        <f t="shared" si="2"/>
        <v>2263768.4</v>
      </c>
      <c r="O37">
        <f t="shared" si="2"/>
        <v>1846277.2999999998</v>
      </c>
      <c r="P37">
        <f t="shared" si="2"/>
        <v>929940.6</v>
      </c>
    </row>
    <row r="39" spans="1:17" x14ac:dyDescent="0.45">
      <c r="B39" s="14" t="s">
        <v>137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x14ac:dyDescent="0.45">
      <c r="B40" s="5">
        <v>45985</v>
      </c>
      <c r="C40" s="5">
        <v>46015</v>
      </c>
      <c r="D40" s="5">
        <v>45682</v>
      </c>
      <c r="E40" s="5">
        <v>45713</v>
      </c>
      <c r="F40" s="5">
        <v>45741</v>
      </c>
      <c r="G40" s="5">
        <v>45772</v>
      </c>
      <c r="H40" s="5">
        <v>45802</v>
      </c>
      <c r="I40" s="5">
        <v>45833</v>
      </c>
      <c r="J40" s="5">
        <v>45863</v>
      </c>
      <c r="K40" s="5">
        <v>45894</v>
      </c>
      <c r="L40" s="5">
        <v>45925</v>
      </c>
      <c r="M40" s="5">
        <v>45955</v>
      </c>
      <c r="N40" s="5">
        <v>45986</v>
      </c>
      <c r="O40" s="5">
        <v>46016</v>
      </c>
      <c r="P40" s="5" t="s">
        <v>105</v>
      </c>
      <c r="Q40" s="5"/>
    </row>
    <row r="41" spans="1:17" x14ac:dyDescent="0.45">
      <c r="A41" t="s">
        <v>89</v>
      </c>
      <c r="D41">
        <v>95000</v>
      </c>
      <c r="E41">
        <f t="shared" ref="E41:O41" si="3">D58</f>
        <v>1212667.966666667</v>
      </c>
      <c r="F41">
        <f t="shared" si="3"/>
        <v>2198562.2333333334</v>
      </c>
      <c r="G41">
        <f t="shared" si="3"/>
        <v>3298385.2000000007</v>
      </c>
      <c r="H41">
        <f t="shared" si="3"/>
        <v>5359983.3666666681</v>
      </c>
      <c r="I41">
        <f t="shared" si="3"/>
        <v>8357488.2333333343</v>
      </c>
      <c r="J41">
        <f t="shared" si="3"/>
        <v>12113885.100000001</v>
      </c>
      <c r="K41">
        <f t="shared" si="3"/>
        <v>17477671.966666669</v>
      </c>
      <c r="L41">
        <f t="shared" si="3"/>
        <v>22629013.733333338</v>
      </c>
      <c r="M41">
        <f t="shared" si="3"/>
        <v>25781820.200000003</v>
      </c>
      <c r="N41">
        <f t="shared" si="3"/>
        <v>30459029.56666667</v>
      </c>
      <c r="O41">
        <f t="shared" si="3"/>
        <v>35447815.233333334</v>
      </c>
      <c r="P41">
        <f>D41</f>
        <v>95000</v>
      </c>
    </row>
    <row r="42" spans="1:17" x14ac:dyDescent="0.45">
      <c r="A42" s="3" t="s">
        <v>90</v>
      </c>
    </row>
    <row r="43" spans="1:17" x14ac:dyDescent="0.45">
      <c r="A43" t="s">
        <v>91</v>
      </c>
      <c r="D43">
        <f>D18</f>
        <v>3963210</v>
      </c>
      <c r="E43">
        <f t="shared" ref="E43:O43" si="4">E18</f>
        <v>4669144</v>
      </c>
      <c r="F43">
        <f t="shared" si="4"/>
        <v>6353406</v>
      </c>
      <c r="G43">
        <f t="shared" si="4"/>
        <v>8439306</v>
      </c>
      <c r="H43">
        <f t="shared" si="4"/>
        <v>10390236</v>
      </c>
      <c r="I43">
        <f t="shared" si="4"/>
        <v>12417240</v>
      </c>
      <c r="J43">
        <f t="shared" si="4"/>
        <v>12908040</v>
      </c>
      <c r="K43">
        <f t="shared" si="4"/>
        <v>11745662</v>
      </c>
      <c r="L43">
        <f t="shared" si="4"/>
        <v>11272976</v>
      </c>
      <c r="M43" s="8">
        <f>M18</f>
        <v>10457742</v>
      </c>
      <c r="N43">
        <f t="shared" si="4"/>
        <v>8063144</v>
      </c>
      <c r="O43">
        <f t="shared" si="4"/>
        <v>4817202</v>
      </c>
      <c r="P43">
        <f>SUM(D43:O43)</f>
        <v>105497308</v>
      </c>
    </row>
    <row r="44" spans="1:17" x14ac:dyDescent="0.45">
      <c r="A44" t="s">
        <v>92</v>
      </c>
      <c r="D44">
        <f>D41+D43</f>
        <v>4058210</v>
      </c>
      <c r="E44">
        <f t="shared" ref="E44:O44" si="5">E41+E43</f>
        <v>5881811.9666666668</v>
      </c>
      <c r="F44">
        <f t="shared" si="5"/>
        <v>8551968.2333333343</v>
      </c>
      <c r="G44">
        <f t="shared" si="5"/>
        <v>11737691.200000001</v>
      </c>
      <c r="H44">
        <f>H41+H43</f>
        <v>15750219.366666667</v>
      </c>
      <c r="I44">
        <f t="shared" si="5"/>
        <v>20774728.233333334</v>
      </c>
      <c r="J44">
        <f t="shared" si="5"/>
        <v>25021925.100000001</v>
      </c>
      <c r="K44">
        <f t="shared" si="5"/>
        <v>29223333.966666669</v>
      </c>
      <c r="L44">
        <f t="shared" si="5"/>
        <v>33901989.733333334</v>
      </c>
      <c r="M44">
        <f t="shared" si="5"/>
        <v>36239562.200000003</v>
      </c>
      <c r="N44">
        <f t="shared" si="5"/>
        <v>38522173.56666667</v>
      </c>
      <c r="O44">
        <f t="shared" si="5"/>
        <v>40265017.233333334</v>
      </c>
      <c r="P44">
        <f>P41+P43</f>
        <v>105592308</v>
      </c>
    </row>
    <row r="45" spans="1:17" x14ac:dyDescent="0.45">
      <c r="A45" s="3" t="s">
        <v>93</v>
      </c>
    </row>
    <row r="46" spans="1:17" x14ac:dyDescent="0.45">
      <c r="A46" t="s">
        <v>94</v>
      </c>
      <c r="D46">
        <f>D37</f>
        <v>1956181.9</v>
      </c>
      <c r="E46">
        <f t="shared" ref="E46:O46" si="6">E37</f>
        <v>2488373.7999999998</v>
      </c>
      <c r="F46">
        <f t="shared" si="6"/>
        <v>3518886.7</v>
      </c>
      <c r="G46">
        <f t="shared" si="6"/>
        <v>4428022.5</v>
      </c>
      <c r="H46">
        <f t="shared" si="6"/>
        <v>5113873.2</v>
      </c>
      <c r="I46">
        <f t="shared" si="6"/>
        <v>5947788.5999999996</v>
      </c>
      <c r="J46">
        <f t="shared" si="6"/>
        <v>5551380</v>
      </c>
      <c r="K46">
        <f t="shared" si="6"/>
        <v>4694786.3000000007</v>
      </c>
      <c r="L46">
        <f t="shared" si="6"/>
        <v>5450543.2000000002</v>
      </c>
      <c r="M46">
        <f t="shared" si="6"/>
        <v>4468591.7</v>
      </c>
      <c r="N46">
        <f t="shared" si="6"/>
        <v>2263768.4</v>
      </c>
      <c r="O46">
        <f t="shared" si="6"/>
        <v>1846277.2999999998</v>
      </c>
      <c r="P46">
        <f>SUM(D46:O46)</f>
        <v>47728473.600000001</v>
      </c>
    </row>
    <row r="47" spans="1:17" x14ac:dyDescent="0.45">
      <c r="A47" t="s">
        <v>95</v>
      </c>
      <c r="D47">
        <f>'Operating Budgets'!E57+'Operating Budgets'!E65</f>
        <v>524628</v>
      </c>
      <c r="E47">
        <f>'Operating Budgets'!F57+'Operating Budgets'!F65</f>
        <v>722514</v>
      </c>
      <c r="F47">
        <f>'Operating Budgets'!G57+'Operating Budgets'!G65</f>
        <v>1049256</v>
      </c>
      <c r="G47">
        <f>'Operating Budgets'!H57+'Operating Budgets'!H65</f>
        <v>1187316</v>
      </c>
      <c r="H47">
        <f>'Operating Budgets'!I57+'Operating Budgets'!I65</f>
        <v>1394406</v>
      </c>
      <c r="I47">
        <f>'Operating Budgets'!J57+'Operating Budgets'!J65</f>
        <v>1629108</v>
      </c>
      <c r="J47">
        <f>'Operating Budgets'!K57+'Operating Budgets'!K65</f>
        <v>1201122</v>
      </c>
      <c r="K47">
        <f>'Operating Budgets'!L57+'Operating Budgets'!L65</f>
        <v>1168908</v>
      </c>
      <c r="L47">
        <f>'Operating Budgets'!M57+'Operating Budgets'!M65</f>
        <v>1610700</v>
      </c>
      <c r="M47">
        <f>'Operating Budgets'!N57+'Operating Budgets'!N65</f>
        <v>690300</v>
      </c>
      <c r="N47">
        <f>'Operating Budgets'!O57+'Operating Budgets'!O65</f>
        <v>464802</v>
      </c>
      <c r="O47">
        <f>'Operating Budgets'!P57+'Operating Budgets'!P65</f>
        <v>469404</v>
      </c>
      <c r="P47">
        <f t="shared" ref="P47:P50" si="7">SUM(D47:O47)</f>
        <v>12112464</v>
      </c>
    </row>
    <row r="48" spans="1:17" x14ac:dyDescent="0.45">
      <c r="A48" t="s">
        <v>96</v>
      </c>
      <c r="D48">
        <f>'Operating Budgets'!E82-'Operating Budgets'!E78</f>
        <v>117253</v>
      </c>
      <c r="E48">
        <f>'Operating Budgets'!F82-'Operating Budgets'!F78</f>
        <v>149073</v>
      </c>
      <c r="F48">
        <f>'Operating Budgets'!G82-'Operating Budgets'!G78</f>
        <v>201613</v>
      </c>
      <c r="G48">
        <f>'Operating Budgets'!H82-'Operating Budgets'!H78</f>
        <v>223813</v>
      </c>
      <c r="H48">
        <f>'Operating Budgets'!I82-'Operating Budgets'!I78</f>
        <v>257113</v>
      </c>
      <c r="I48">
        <f>'Operating Budgets'!J82-'Operating Budgets'!J78</f>
        <v>294853</v>
      </c>
      <c r="J48">
        <f>'Operating Budgets'!K82-'Operating Budgets'!K78</f>
        <v>226033</v>
      </c>
      <c r="K48">
        <f>'Operating Budgets'!L82-'Operating Budgets'!L78</f>
        <v>220853</v>
      </c>
      <c r="L48" s="8">
        <f>'Operating Budgets'!M82-'Operating Budgets'!M78</f>
        <v>291893</v>
      </c>
      <c r="M48">
        <f>'Operating Budgets'!N82-'Operating Budgets'!N78</f>
        <v>143893</v>
      </c>
      <c r="N48">
        <f>'Operating Budgets'!O82-'Operating Budgets'!O78</f>
        <v>107633</v>
      </c>
      <c r="O48">
        <f>'Operating Budgets'!P82-'Operating Budgets'!P78</f>
        <v>108373</v>
      </c>
      <c r="P48">
        <f t="shared" si="7"/>
        <v>2342396</v>
      </c>
    </row>
    <row r="49" spans="1:16" x14ac:dyDescent="0.45">
      <c r="A49" t="s">
        <v>86</v>
      </c>
      <c r="D49">
        <f>'Operating Budgets'!E99-'Operating Budgets'!E96</f>
        <v>246145.8</v>
      </c>
      <c r="E49">
        <f>'Operating Budgets'!F99-'Operating Budgets'!F96</f>
        <v>321955.59999999998</v>
      </c>
      <c r="F49">
        <f>'Operating Budgets'!G99-'Operating Budgets'!G96</f>
        <v>482494</v>
      </c>
      <c r="G49">
        <f>'Operating Budgets'!H99-'Operating Budgets'!H96</f>
        <v>537223</v>
      </c>
      <c r="H49">
        <f>'Operating Budgets'!I99-'Operating Budgets'!I96</f>
        <v>626005.6</v>
      </c>
      <c r="I49">
        <f>'Operating Budgets'!J99-'Operating Budgets'!J96</f>
        <v>787760.2</v>
      </c>
      <c r="J49">
        <f>'Operating Budgets'!K99-'Operating Budgets'!K96</f>
        <v>564384.80000000005</v>
      </c>
      <c r="K49" s="12">
        <f>'Operating Budgets'!L99-'Operating Budgets'!L96</f>
        <v>508439.6</v>
      </c>
      <c r="L49">
        <f>'Operating Budgets'!M99-'Operating Budgets'!M96</f>
        <v>765700</v>
      </c>
      <c r="M49">
        <f>'Operating Budgets'!N99-'Operating Budgets'!N96</f>
        <v>356414.6</v>
      </c>
      <c r="N49">
        <f>'Operating Budgets'!O99-'Operating Budgets'!O96</f>
        <v>236821.59999999998</v>
      </c>
      <c r="O49">
        <f>'Operating Budgets'!P99-'Operating Budgets'!P96</f>
        <v>231956.8</v>
      </c>
      <c r="P49">
        <f t="shared" si="7"/>
        <v>5665301.5999999987</v>
      </c>
    </row>
    <row r="50" spans="1:16" x14ac:dyDescent="0.45">
      <c r="A50" t="s">
        <v>97</v>
      </c>
      <c r="D50" s="1"/>
      <c r="E50" s="1"/>
      <c r="F50" s="1"/>
      <c r="G50" s="1"/>
      <c r="H50" s="1"/>
      <c r="I50" s="1"/>
      <c r="J50" s="1"/>
      <c r="K50" s="1"/>
      <c r="L50" s="1"/>
      <c r="M50" s="1">
        <v>120000</v>
      </c>
      <c r="N50" s="1"/>
      <c r="O50" s="1"/>
      <c r="P50" s="1">
        <f t="shared" si="7"/>
        <v>120000</v>
      </c>
    </row>
    <row r="51" spans="1:16" x14ac:dyDescent="0.45">
      <c r="A51" t="s">
        <v>98</v>
      </c>
      <c r="D51">
        <f>SUM(D46:D50)</f>
        <v>2844208.6999999997</v>
      </c>
      <c r="E51">
        <f t="shared" ref="E51:O51" si="8">SUM(E46:E50)</f>
        <v>3681916.4</v>
      </c>
      <c r="F51">
        <f t="shared" si="8"/>
        <v>5252249.7</v>
      </c>
      <c r="G51">
        <f t="shared" si="8"/>
        <v>6376374.5</v>
      </c>
      <c r="H51">
        <f t="shared" si="8"/>
        <v>7391397.7999999998</v>
      </c>
      <c r="I51">
        <f t="shared" si="8"/>
        <v>8659509.7999999989</v>
      </c>
      <c r="J51">
        <f t="shared" si="8"/>
        <v>7542919.7999999998</v>
      </c>
      <c r="K51">
        <f t="shared" si="8"/>
        <v>6592986.9000000004</v>
      </c>
      <c r="L51">
        <f t="shared" si="8"/>
        <v>8118836.2000000002</v>
      </c>
      <c r="M51">
        <f t="shared" si="8"/>
        <v>5779199.2999999998</v>
      </c>
      <c r="N51">
        <f t="shared" si="8"/>
        <v>3073025</v>
      </c>
      <c r="O51">
        <f t="shared" si="8"/>
        <v>2656011.0999999996</v>
      </c>
      <c r="P51">
        <f>SUM(P46:P50)</f>
        <v>67968635.200000003</v>
      </c>
    </row>
    <row r="52" spans="1:16" x14ac:dyDescent="0.45">
      <c r="A52" t="s">
        <v>104</v>
      </c>
      <c r="D52">
        <f>D44-D51</f>
        <v>1214001.3000000003</v>
      </c>
      <c r="E52">
        <f t="shared" ref="E52:N52" si="9">E44-E51</f>
        <v>2199895.5666666669</v>
      </c>
      <c r="F52">
        <f t="shared" si="9"/>
        <v>3299718.5333333341</v>
      </c>
      <c r="G52">
        <f t="shared" si="9"/>
        <v>5361316.7000000011</v>
      </c>
      <c r="H52">
        <f t="shared" si="9"/>
        <v>8358821.5666666673</v>
      </c>
      <c r="I52">
        <f t="shared" si="9"/>
        <v>12115218.433333335</v>
      </c>
      <c r="J52">
        <f t="shared" si="9"/>
        <v>17479005.300000001</v>
      </c>
      <c r="K52">
        <f t="shared" si="9"/>
        <v>22630347.06666667</v>
      </c>
      <c r="L52">
        <f t="shared" si="9"/>
        <v>25783153.533333335</v>
      </c>
      <c r="M52">
        <f t="shared" si="9"/>
        <v>30460362.900000002</v>
      </c>
      <c r="N52">
        <f t="shared" si="9"/>
        <v>35449148.56666667</v>
      </c>
      <c r="O52">
        <f>O44-O51</f>
        <v>37609006.133333333</v>
      </c>
      <c r="P52">
        <f>P44-P51</f>
        <v>37623672.799999997</v>
      </c>
    </row>
    <row r="53" spans="1:16" x14ac:dyDescent="0.45">
      <c r="A53" s="3" t="s">
        <v>99</v>
      </c>
    </row>
    <row r="54" spans="1:16" x14ac:dyDescent="0.45">
      <c r="A54" t="s">
        <v>100</v>
      </c>
    </row>
    <row r="55" spans="1:16" x14ac:dyDescent="0.45">
      <c r="A55" t="s">
        <v>101</v>
      </c>
      <c r="O55">
        <f>-(200000*11%)</f>
        <v>-22000</v>
      </c>
      <c r="P55">
        <f>-(200000*11%)</f>
        <v>-22000</v>
      </c>
    </row>
    <row r="56" spans="1:16" x14ac:dyDescent="0.45">
      <c r="A56" t="s">
        <v>102</v>
      </c>
      <c r="D56" s="1">
        <f>-(200000*8%/12)</f>
        <v>-1333.3333333333333</v>
      </c>
      <c r="E56" s="1">
        <f t="shared" ref="E56:O56" si="10">-(200000*8%/12)</f>
        <v>-1333.3333333333333</v>
      </c>
      <c r="F56" s="1">
        <f t="shared" si="10"/>
        <v>-1333.3333333333333</v>
      </c>
      <c r="G56" s="1">
        <f t="shared" si="10"/>
        <v>-1333.3333333333333</v>
      </c>
      <c r="H56" s="1">
        <f t="shared" si="10"/>
        <v>-1333.3333333333333</v>
      </c>
      <c r="I56" s="1">
        <f t="shared" si="10"/>
        <v>-1333.3333333333333</v>
      </c>
      <c r="J56" s="1">
        <f t="shared" si="10"/>
        <v>-1333.3333333333333</v>
      </c>
      <c r="K56" s="1">
        <f t="shared" si="10"/>
        <v>-1333.3333333333333</v>
      </c>
      <c r="L56" s="1">
        <f t="shared" si="10"/>
        <v>-1333.3333333333333</v>
      </c>
      <c r="M56" s="1">
        <f t="shared" si="10"/>
        <v>-1333.3333333333333</v>
      </c>
      <c r="N56" s="10">
        <f t="shared" si="10"/>
        <v>-1333.3333333333333</v>
      </c>
      <c r="O56" s="1">
        <f t="shared" si="10"/>
        <v>-1333.3333333333333</v>
      </c>
      <c r="P56">
        <f>SUM(D56:O56)</f>
        <v>-16000.000000000002</v>
      </c>
    </row>
    <row r="58" spans="1:16" x14ac:dyDescent="0.45">
      <c r="A58" s="3" t="s">
        <v>103</v>
      </c>
      <c r="D58">
        <f>SUM(D52:D56)</f>
        <v>1212667.966666667</v>
      </c>
      <c r="E58">
        <f t="shared" ref="E58:P58" si="11">SUM(E52:E56)</f>
        <v>2198562.2333333334</v>
      </c>
      <c r="F58">
        <f t="shared" si="11"/>
        <v>3298385.2000000007</v>
      </c>
      <c r="G58">
        <f t="shared" si="11"/>
        <v>5359983.3666666681</v>
      </c>
      <c r="H58">
        <f t="shared" si="11"/>
        <v>8357488.2333333343</v>
      </c>
      <c r="I58">
        <f t="shared" si="11"/>
        <v>12113885.100000001</v>
      </c>
      <c r="J58">
        <f t="shared" si="11"/>
        <v>17477671.966666669</v>
      </c>
      <c r="K58">
        <f t="shared" si="11"/>
        <v>22629013.733333338</v>
      </c>
      <c r="L58">
        <f t="shared" si="11"/>
        <v>25781820.200000003</v>
      </c>
      <c r="M58">
        <f t="shared" si="11"/>
        <v>30459029.56666667</v>
      </c>
      <c r="N58">
        <f t="shared" si="11"/>
        <v>35447815.233333334</v>
      </c>
      <c r="O58">
        <f t="shared" si="11"/>
        <v>37585672.799999997</v>
      </c>
      <c r="P58">
        <f t="shared" si="11"/>
        <v>37585672.799999997</v>
      </c>
    </row>
  </sheetData>
  <mergeCells count="3">
    <mergeCell ref="B1:Q1"/>
    <mergeCell ref="B20:Q20"/>
    <mergeCell ref="B39:Q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6EB8-DAD4-4B4F-BB42-41A6EF7B4E06}">
  <dimension ref="A1:L33"/>
  <sheetViews>
    <sheetView zoomScale="80" workbookViewId="0">
      <selection activeCell="A4" sqref="A4:A20"/>
    </sheetView>
  </sheetViews>
  <sheetFormatPr defaultRowHeight="14.25" x14ac:dyDescent="0.45"/>
  <cols>
    <col min="5" max="5" width="17.1328125" customWidth="1"/>
    <col min="8" max="8" width="16.86328125" bestFit="1" customWidth="1"/>
    <col min="9" max="9" width="12.9296875" customWidth="1"/>
  </cols>
  <sheetData>
    <row r="1" spans="1:12" x14ac:dyDescent="0.45">
      <c r="A1" s="14" t="s">
        <v>80</v>
      </c>
      <c r="B1" s="14"/>
      <c r="C1" s="14"/>
      <c r="D1" s="14"/>
      <c r="E1" s="14"/>
    </row>
    <row r="2" spans="1:12" x14ac:dyDescent="0.45">
      <c r="A2" s="14" t="s">
        <v>106</v>
      </c>
      <c r="B2" s="14"/>
      <c r="C2" s="14"/>
      <c r="D2" s="14"/>
      <c r="E2" s="14"/>
    </row>
    <row r="3" spans="1:12" x14ac:dyDescent="0.45">
      <c r="A3" s="14" t="s">
        <v>107</v>
      </c>
      <c r="B3" s="14"/>
      <c r="C3" s="14"/>
      <c r="D3" s="14"/>
      <c r="E3" s="14"/>
    </row>
    <row r="4" spans="1:12" x14ac:dyDescent="0.45">
      <c r="A4" s="3" t="s">
        <v>108</v>
      </c>
    </row>
    <row r="5" spans="1:12" x14ac:dyDescent="0.45">
      <c r="A5" t="s">
        <v>109</v>
      </c>
      <c r="E5">
        <f>'Cash Budget'!P58</f>
        <v>37585672.799999997</v>
      </c>
    </row>
    <row r="6" spans="1:12" x14ac:dyDescent="0.45">
      <c r="A6" t="s">
        <v>110</v>
      </c>
      <c r="E6">
        <f>SUM('Cash Budget'!P16,'Cash Budget'!P17,'Cash Budget'!Q17)</f>
        <v>4054008</v>
      </c>
    </row>
    <row r="7" spans="1:12" x14ac:dyDescent="0.45">
      <c r="A7" t="s">
        <v>111</v>
      </c>
    </row>
    <row r="8" spans="1:12" x14ac:dyDescent="0.45">
      <c r="A8" s="6" t="s">
        <v>69</v>
      </c>
      <c r="D8">
        <f>'Operating Budgets'!S20*'Operating Budgets'!S24</f>
        <v>57960</v>
      </c>
    </row>
    <row r="9" spans="1:12" x14ac:dyDescent="0.45">
      <c r="A9" s="6" t="s">
        <v>19</v>
      </c>
      <c r="D9">
        <f>'Operating Budgets'!S32*'Operating Budgets'!S36</f>
        <v>6048</v>
      </c>
    </row>
    <row r="10" spans="1:12" x14ac:dyDescent="0.45">
      <c r="A10" s="6" t="s">
        <v>112</v>
      </c>
      <c r="D10">
        <f>'Operating Budgets'!S44*'Operating Budgets'!S48</f>
        <v>238836</v>
      </c>
      <c r="E10" s="8">
        <f>SUM(D8:D10)</f>
        <v>302844</v>
      </c>
    </row>
    <row r="11" spans="1:12" x14ac:dyDescent="0.45">
      <c r="A11" t="s">
        <v>113</v>
      </c>
      <c r="E11">
        <f>'Operating Budgets'!S10*'Operating Budgets'!G111</f>
        <v>567568.92401215807</v>
      </c>
    </row>
    <row r="12" spans="1:12" x14ac:dyDescent="0.45">
      <c r="A12" t="s">
        <v>114</v>
      </c>
      <c r="E12" s="8">
        <f>420000-I12</f>
        <v>367404</v>
      </c>
      <c r="H12" t="s">
        <v>18</v>
      </c>
      <c r="I12">
        <f>'Operating Budgets'!S78+'Operating Budgets'!S96</f>
        <v>52596</v>
      </c>
      <c r="K12" s="6" t="s">
        <v>69</v>
      </c>
      <c r="L12">
        <f>'Operating Budgets'!E22*'Operating Budgets'!E24</f>
        <v>55062</v>
      </c>
    </row>
    <row r="13" spans="1:12" x14ac:dyDescent="0.45">
      <c r="A13" s="3" t="s">
        <v>115</v>
      </c>
      <c r="E13" s="3">
        <f>SUM(E5:E12)</f>
        <v>42877497.724012151</v>
      </c>
      <c r="K13" s="6" t="s">
        <v>19</v>
      </c>
      <c r="L13">
        <f>'Operating Budgets'!E34*'Operating Budgets'!E36</f>
        <v>5745.5999999999995</v>
      </c>
    </row>
    <row r="14" spans="1:12" x14ac:dyDescent="0.45">
      <c r="K14" s="6" t="s">
        <v>112</v>
      </c>
      <c r="L14">
        <f>'Operating Budgets'!E46*'Operating Budgets'!E48</f>
        <v>238836</v>
      </c>
    </row>
    <row r="15" spans="1:12" x14ac:dyDescent="0.45">
      <c r="A15" s="3" t="s">
        <v>116</v>
      </c>
    </row>
    <row r="16" spans="1:12" x14ac:dyDescent="0.45">
      <c r="A16" t="s">
        <v>117</v>
      </c>
      <c r="E16">
        <f>'Cash Budget'!P36</f>
        <v>929940.6</v>
      </c>
    </row>
    <row r="17" spans="1:9" x14ac:dyDescent="0.45">
      <c r="A17" t="s">
        <v>118</v>
      </c>
      <c r="E17" s="8">
        <f>200000+'Cash Budget'!O55</f>
        <v>178000</v>
      </c>
    </row>
    <row r="18" spans="1:9" x14ac:dyDescent="0.45">
      <c r="A18" t="s">
        <v>119</v>
      </c>
      <c r="E18">
        <v>600000</v>
      </c>
    </row>
    <row r="19" spans="1:9" x14ac:dyDescent="0.45">
      <c r="A19" t="s">
        <v>120</v>
      </c>
      <c r="E19">
        <f>I30</f>
        <v>41169557.124012157</v>
      </c>
      <c r="H19" t="s">
        <v>123</v>
      </c>
      <c r="I19">
        <v>95000</v>
      </c>
    </row>
    <row r="20" spans="1:9" x14ac:dyDescent="0.45">
      <c r="A20" s="3" t="s">
        <v>121</v>
      </c>
      <c r="E20" s="3">
        <f>SUM(E16:E19)</f>
        <v>42877497.724012159</v>
      </c>
      <c r="H20" t="s">
        <v>124</v>
      </c>
      <c r="I20">
        <f>'Cash Budget'!D4+'Cash Budget'!D5+'Cash Budget'!E5</f>
        <v>3862596</v>
      </c>
    </row>
    <row r="21" spans="1:9" x14ac:dyDescent="0.45">
      <c r="H21" t="s">
        <v>125</v>
      </c>
      <c r="I21">
        <f>'Operating Budgets'!E12*'Operating Budgets'!G111</f>
        <v>539190.47781155014</v>
      </c>
    </row>
    <row r="22" spans="1:9" x14ac:dyDescent="0.45">
      <c r="H22" t="s">
        <v>126</v>
      </c>
      <c r="I22">
        <f>SUM(L12:L14)</f>
        <v>299643.59999999998</v>
      </c>
    </row>
    <row r="23" spans="1:9" x14ac:dyDescent="0.45">
      <c r="H23" t="s">
        <v>127</v>
      </c>
      <c r="I23">
        <v>420000</v>
      </c>
    </row>
    <row r="24" spans="1:9" x14ac:dyDescent="0.45">
      <c r="H24" t="s">
        <v>128</v>
      </c>
      <c r="I24">
        <f>-'Cash Budget'!D24</f>
        <v>-910733.8</v>
      </c>
    </row>
    <row r="25" spans="1:9" x14ac:dyDescent="0.45">
      <c r="H25" t="s">
        <v>129</v>
      </c>
      <c r="I25">
        <v>-200000</v>
      </c>
    </row>
    <row r="26" spans="1:9" x14ac:dyDescent="0.45">
      <c r="H26" t="s">
        <v>130</v>
      </c>
      <c r="I26">
        <v>-600000</v>
      </c>
    </row>
    <row r="27" spans="1:9" x14ac:dyDescent="0.45">
      <c r="G27" t="s">
        <v>134</v>
      </c>
      <c r="H27" t="s">
        <v>131</v>
      </c>
      <c r="I27">
        <f>SUM(I19:I26)</f>
        <v>3505696.2778115496</v>
      </c>
    </row>
    <row r="28" spans="1:9" x14ac:dyDescent="0.45">
      <c r="H28" t="s">
        <v>132</v>
      </c>
      <c r="I28">
        <f>'Operating Budgets'!G126</f>
        <v>37783860.846200608</v>
      </c>
    </row>
    <row r="29" spans="1:9" x14ac:dyDescent="0.45">
      <c r="H29" t="s">
        <v>133</v>
      </c>
      <c r="I29">
        <f>-'Cash Budget'!P50</f>
        <v>-120000</v>
      </c>
    </row>
    <row r="30" spans="1:9" x14ac:dyDescent="0.45">
      <c r="H30" t="s">
        <v>135</v>
      </c>
      <c r="I30">
        <f>SUM(I27:I29)</f>
        <v>41169557.124012157</v>
      </c>
    </row>
    <row r="33" spans="8:9" x14ac:dyDescent="0.45">
      <c r="H33">
        <f>'Operating Budgets'!S82/'Operating Budgets'!S55</f>
        <v>4.5335258358662616</v>
      </c>
      <c r="I33" t="s">
        <v>139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Operating Budgets</vt:lpstr>
      <vt:lpstr>Cash Budget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Sabry</dc:creator>
  <cp:lastModifiedBy>Safa Sabry</cp:lastModifiedBy>
  <dcterms:created xsi:type="dcterms:W3CDTF">2025-11-19T17:54:01Z</dcterms:created>
  <dcterms:modified xsi:type="dcterms:W3CDTF">2025-11-25T19:16:29Z</dcterms:modified>
</cp:coreProperties>
</file>